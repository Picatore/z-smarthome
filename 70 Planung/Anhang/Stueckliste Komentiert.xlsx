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ückliste" sheetId="1" state="visible" r:id="rId3"/>
    <sheet name="Stückliste nach Kategorie" sheetId="2" state="visible" r:id="rId4"/>
    <sheet name="Stückliste nach Raum" sheetId="3" state="visible" r:id="rId5"/>
    <sheet name="Belegung" sheetId="4" state="visible" r:id="rId6"/>
    <sheet name="Leistungsbedarf" sheetId="5" state="visible" r:id="rId7"/>
  </sheets>
  <definedNames>
    <definedName function="false" hidden="true" localSheetId="0" name="_xlnm._FilterDatabase" vbProcedure="false">Stückliste!$A$3:$E$41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<sst xmlns="http://schemas.openxmlformats.org/spreadsheetml/2006/main" count="347" uniqueCount="140">
  <si>
    <t xml:space="preserve">Stückliste</t>
  </si>
  <si>
    <t xml:space="preserve">Stück</t>
  </si>
  <si>
    <t xml:space="preserve">Art. Nr.</t>
  </si>
  <si>
    <t xml:space="preserve">Beschreibung</t>
  </si>
  <si>
    <t xml:space="preserve">Stückpreis (Netto)</t>
  </si>
  <si>
    <t xml:space="preserve">Gesamt</t>
  </si>
  <si>
    <t xml:space="preserve">Relay Extension</t>
  </si>
  <si>
    <t xml:space="preserve">Smart Socket Air - Type F</t>
  </si>
  <si>
    <t xml:space="preserve">Steckdosenschalter</t>
  </si>
  <si>
    <t xml:space="preserve">Rauchmelder Air</t>
  </si>
  <si>
    <t xml:space="preserve">Caller Service (10 Jahre)</t>
  </si>
  <si>
    <t xml:space="preserve">?</t>
  </si>
  <si>
    <t xml:space="preserve">Tree Extension</t>
  </si>
  <si>
    <t xml:space="preserve">RGBW 24V Dimmer Tree</t>
  </si>
  <si>
    <t xml:space="preserve">Wetterstation Tree</t>
  </si>
  <si>
    <t xml:space="preserve">Touch Surface Tree</t>
  </si>
  <si>
    <t xml:space="preserve">LED Ceiling Light RGBW Tree Weiß</t>
  </si>
  <si>
    <t xml:space="preserve">LED Pendulum Slim RGBW Tree Weiß</t>
  </si>
  <si>
    <t xml:space="preserve">LED Pendulum Slim RGBW Tree Anthrazit</t>
  </si>
  <si>
    <t xml:space="preserve">RGBW 24V Compact Dimmer Tree</t>
  </si>
  <si>
    <t xml:space="preserve">LED Spot WW PWM Weiß</t>
  </si>
  <si>
    <t xml:space="preserve">LED Spot RGBW Tree Weiß</t>
  </si>
  <si>
    <t xml:space="preserve">Touch &amp; Grill Classic Air</t>
  </si>
  <si>
    <t xml:space="preserve">Nano 2 Relay Tree</t>
  </si>
  <si>
    <t xml:space="preserve">Power Supply &amp; Backup</t>
  </si>
  <si>
    <t xml:space="preserve">Präsenzmelder Air Weiß</t>
  </si>
  <si>
    <t xml:space="preserve">Präsenzmelder Tree Weiß</t>
  </si>
  <si>
    <t xml:space="preserve">Touch Pure Classic Tree Signalweiß</t>
  </si>
  <si>
    <t xml:space="preserve">Präsenzmelder Deckeneinbau Tree Weiß</t>
  </si>
  <si>
    <t xml:space="preserve">AI Extension</t>
  </si>
  <si>
    <t xml:space="preserve">Für was?</t>
  </si>
  <si>
    <t xml:space="preserve">Touch Nightlight Classic Air Signalweiß</t>
  </si>
  <si>
    <t xml:space="preserve">Bettlichter?</t>
  </si>
  <si>
    <t xml:space="preserve">NFC Code Touch Tree Signalweiß</t>
  </si>
  <si>
    <t xml:space="preserve">Intercom Signalweiß</t>
  </si>
  <si>
    <t xml:space="preserve">Montagerahmen 2-fach Silber</t>
  </si>
  <si>
    <t xml:space="preserve">Miniserver Compact</t>
  </si>
  <si>
    <t xml:space="preserve">Table Lamp Air Anthrazit</t>
  </si>
  <si>
    <t xml:space="preserve">Exosphere Miniserver Pro (10 Jahre)</t>
  </si>
  <si>
    <t xml:space="preserve">Stellantrieb Tree</t>
  </si>
  <si>
    <t xml:space="preserve">Remote Air Anthrazit</t>
  </si>
  <si>
    <t xml:space="preserve">Tree Kabel (200m)</t>
  </si>
  <si>
    <t xml:space="preserve">Temperatur &amp; Feuchtefühler Sauna</t>
  </si>
  <si>
    <t xml:space="preserve">Install Speaker 7 Master</t>
  </si>
  <si>
    <t xml:space="preserve">Install Speaker 7 Client</t>
  </si>
  <si>
    <t xml:space="preserve">Install Speaker 10 Master</t>
  </si>
  <si>
    <t xml:space="preserve">Install Speaker 10 Client</t>
  </si>
  <si>
    <t xml:space="preserve">Install Sub 10 Client</t>
  </si>
  <si>
    <t xml:space="preserve">Gesamtpreis exkl. Steuern</t>
  </si>
  <si>
    <t xml:space="preserve">+ Steuern</t>
  </si>
  <si>
    <t xml:space="preserve">Gesamtpreis inkl. Steuern</t>
  </si>
  <si>
    <t xml:space="preserve">Preisänderungen vorbehalten (20-06-2026)</t>
  </si>
  <si>
    <t xml:space="preserve">Stückliste nach Kategorie</t>
  </si>
  <si>
    <t xml:space="preserve">Gesamt Kategorie</t>
  </si>
  <si>
    <t xml:space="preserve">%</t>
  </si>
  <si>
    <t xml:space="preserve">Automatisierung</t>
  </si>
  <si>
    <t xml:space="preserve">Freier digitaler Ausgang (16A)</t>
  </si>
  <si>
    <t xml:space="preserve">Bedienelemente</t>
  </si>
  <si>
    <t xml:space="preserve">Beschattung</t>
  </si>
  <si>
    <t xml:space="preserve">Klima</t>
  </si>
  <si>
    <t xml:space="preserve">Bewegungsmelder / Präsenzerkennung</t>
  </si>
  <si>
    <t xml:space="preserve">Sicherheit</t>
  </si>
  <si>
    <t xml:space="preserve">Zutritt</t>
  </si>
  <si>
    <t xml:space="preserve">Beleuchtung</t>
  </si>
  <si>
    <t xml:space="preserve">Multimedia</t>
  </si>
  <si>
    <t xml:space="preserve">Install 10 Master + Clients</t>
  </si>
  <si>
    <t xml:space="preserve">Install 7 Master + Clients</t>
  </si>
  <si>
    <t xml:space="preserve">Energie</t>
  </si>
  <si>
    <t xml:space="preserve">Cloud Services</t>
  </si>
  <si>
    <t xml:space="preserve">Exosphere</t>
  </si>
  <si>
    <t xml:space="preserve">Zubehör</t>
  </si>
  <si>
    <t xml:space="preserve">Stückliste nach Raum</t>
  </si>
  <si>
    <t xml:space="preserve">Verwendung</t>
  </si>
  <si>
    <t xml:space="preserve">Gesamt Raum</t>
  </si>
  <si>
    <t xml:space="preserve">Außenbereich</t>
  </si>
  <si>
    <t xml:space="preserve">Lichter</t>
  </si>
  <si>
    <t xml:space="preserve">Eingang - Vordach Eingang</t>
  </si>
  <si>
    <t xml:space="preserve">Eingang Codeschloss</t>
  </si>
  <si>
    <t xml:space="preserve">Eingang Sprechanlage</t>
  </si>
  <si>
    <t xml:space="preserve">Bad / Sauna</t>
  </si>
  <si>
    <t xml:space="preserve">Saunaofen</t>
  </si>
  <si>
    <t xml:space="preserve">Verdampfer</t>
  </si>
  <si>
    <t xml:space="preserve">LED Sauna</t>
  </si>
  <si>
    <t xml:space="preserve">Waschtisch Akzentlicht</t>
  </si>
  <si>
    <t xml:space="preserve">Deckenlicht</t>
  </si>
  <si>
    <t xml:space="preserve">Decke</t>
  </si>
  <si>
    <t xml:space="preserve">Tür</t>
  </si>
  <si>
    <t xml:space="preserve">Büro 1</t>
  </si>
  <si>
    <t xml:space="preserve">Büro 2</t>
  </si>
  <si>
    <t xml:space="preserve">Büro 3</t>
  </si>
  <si>
    <t xml:space="preserve">Büro TZ</t>
  </si>
  <si>
    <t xml:space="preserve">Lounge Akzentlicht</t>
  </si>
  <si>
    <t xml:space="preserve">Flur</t>
  </si>
  <si>
    <t xml:space="preserve">Küche</t>
  </si>
  <si>
    <t xml:space="preserve">Kochinsel LED Streifen indirekt</t>
  </si>
  <si>
    <t xml:space="preserve">Schalter in Kochinsel eingelassen</t>
  </si>
  <si>
    <t xml:space="preserve">Kochinstel Akzentlicht</t>
  </si>
  <si>
    <t xml:space="preserve">Schlafzimmer</t>
  </si>
  <si>
    <t xml:space="preserve">Unterbodenlicht Bett</t>
  </si>
  <si>
    <t xml:space="preserve">Bett - unter Bett</t>
  </si>
  <si>
    <t xml:space="preserve">Nachttischkasten</t>
  </si>
  <si>
    <t xml:space="preserve">Schrank</t>
  </si>
  <si>
    <t xml:space="preserve">Technik</t>
  </si>
  <si>
    <t xml:space="preserve">WC Bad</t>
  </si>
  <si>
    <t xml:space="preserve">WC Eingang</t>
  </si>
  <si>
    <t xml:space="preserve">Zentral</t>
  </si>
  <si>
    <t xml:space="preserve">IO Belegung</t>
  </si>
  <si>
    <t xml:space="preserve">Typ</t>
  </si>
  <si>
    <t xml:space="preserve">Verfügbar</t>
  </si>
  <si>
    <t xml:space="preserve">Benötigt</t>
  </si>
  <si>
    <t xml:space="preserve">Reserve</t>
  </si>
  <si>
    <t xml:space="preserve">Tree Geräte</t>
  </si>
  <si>
    <t xml:space="preserve">Air Geräte</t>
  </si>
  <si>
    <t xml:space="preserve">Analoge Ausgänge</t>
  </si>
  <si>
    <t xml:space="preserve">Analoge Eingänge</t>
  </si>
  <si>
    <t xml:space="preserve">Dimmer Ausgänge</t>
  </si>
  <si>
    <t xml:space="preserve">Digitale Eingänge</t>
  </si>
  <si>
    <t xml:space="preserve">Digitale Ausgänge 16A</t>
  </si>
  <si>
    <t xml:space="preserve">Digitale Ausgänge (10A)</t>
  </si>
  <si>
    <t xml:space="preserve">Audio Kanäle</t>
  </si>
  <si>
    <t xml:space="preserve">Analoge Strom Eingänge</t>
  </si>
  <si>
    <t xml:space="preserve">Platzbedarf im Verteiler</t>
  </si>
  <si>
    <t xml:space="preserve">Produkt</t>
  </si>
  <si>
    <t xml:space="preserve">Platzbedarf [mm]</t>
  </si>
  <si>
    <t xml:space="preserve">Gesamt [mm]</t>
  </si>
  <si>
    <t xml:space="preserve">Relay Extension (9 TE)</t>
  </si>
  <si>
    <t xml:space="preserve">Tree Extension (2 TE)</t>
  </si>
  <si>
    <t xml:space="preserve">RGBW 24V Dimmer Tree (2 TE)</t>
  </si>
  <si>
    <t xml:space="preserve">Power Supply &amp; Backup (18 TE)</t>
  </si>
  <si>
    <t xml:space="preserve">AI Extension (2 TE)</t>
  </si>
  <si>
    <t xml:space="preserve">Miniserver Compact (6 TE)</t>
  </si>
  <si>
    <t xml:space="preserve">Platzbedarf gesamt in mm</t>
  </si>
  <si>
    <t xml:space="preserve">Platzbedarf gesamt in Teilungseinheiten</t>
  </si>
  <si>
    <t xml:space="preserve">Leistungsbedarf</t>
  </si>
  <si>
    <t xml:space="preserve">Geräteleistung</t>
  </si>
  <si>
    <t xml:space="preserve">Gleichzeitigkeitsfaktor</t>
  </si>
  <si>
    <t xml:space="preserve">Gruppe gesamt</t>
  </si>
  <si>
    <t xml:space="preserve">Beleuchtung &amp; Audio</t>
  </si>
  <si>
    <t xml:space="preserve">Peripherie</t>
  </si>
  <si>
    <t xml:space="preserve">Steuerung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</si>
</sst>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&quot;€ &quot;* #,##0.00_-;&quot;-€ &quot;* #,##0.00_-;_-&quot;€ &quot;* \-??_-;_-@_-"/>
    <numFmt numFmtId="166" formatCode="0.##%"/>
    <numFmt numFmtId="167" formatCode="0\ %"/>
    <numFmt numFmtId="168" formatCode="_-#,##0.00&quot; W&quot;_-;;"/>
  </numFmts>
  <fonts count="8">
    <font>
      <sz val="11"/>
      <color theme="1"/>
      <name val="Calibri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b val="true"/>
      <sz val="13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DFF70"/>
        <bgColor rgb="FF99CC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8DFF7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8DFF7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7" activeCellId="0" sqref="F27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7" min="4" style="0" width="17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</row>
    <row r="3" customFormat="false" ht="31.5" hidden="false" customHeight="tru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4" t="s">
        <v>5</v>
      </c>
    </row>
    <row r="4" customFormat="false" ht="15" hidden="false" customHeight="false" outlineLevel="0" collapsed="false">
      <c r="A4" s="5" t="n">
        <v>1</v>
      </c>
      <c r="B4" s="0" t="n">
        <v>100038</v>
      </c>
      <c r="C4" s="0" t="s">
        <v>6</v>
      </c>
      <c r="D4" s="6" t="n">
        <v>337.57</v>
      </c>
      <c r="E4" s="7" t="n">
        <f aca="false">A4*D4</f>
        <v>337.57</v>
      </c>
    </row>
    <row r="5" customFormat="false" ht="15" hidden="false" customHeight="false" outlineLevel="0" collapsed="false">
      <c r="A5" s="5" t="n">
        <v>3</v>
      </c>
      <c r="B5" s="0" t="n">
        <v>100115</v>
      </c>
      <c r="C5" s="0" t="s">
        <v>7</v>
      </c>
      <c r="D5" s="6" t="n">
        <v>76.68</v>
      </c>
      <c r="E5" s="7" t="n">
        <f aca="false">A5*D5</f>
        <v>230.04</v>
      </c>
      <c r="F5" s="0" t="s">
        <v>8</v>
      </c>
    </row>
    <row r="6" customFormat="false" ht="15" hidden="false" customHeight="false" outlineLevel="0" collapsed="false">
      <c r="A6" s="5" t="n">
        <v>8</v>
      </c>
      <c r="B6" s="0" t="n">
        <v>100142</v>
      </c>
      <c r="C6" s="0" t="s">
        <v>9</v>
      </c>
      <c r="D6" s="6" t="n">
        <v>114.68</v>
      </c>
      <c r="E6" s="7" t="n">
        <f aca="false">A6*D6</f>
        <v>917.44</v>
      </c>
    </row>
    <row r="7" customFormat="false" ht="15" hidden="false" customHeight="false" outlineLevel="0" collapsed="false">
      <c r="A7" s="5" t="n">
        <v>1</v>
      </c>
      <c r="B7" s="0" t="n">
        <v>100202</v>
      </c>
      <c r="C7" s="0" t="s">
        <v>10</v>
      </c>
      <c r="D7" s="6" t="n">
        <v>382.88</v>
      </c>
      <c r="E7" s="7" t="n">
        <f aca="false">A7*D7</f>
        <v>382.88</v>
      </c>
      <c r="F7" s="0" t="s">
        <v>11</v>
      </c>
    </row>
    <row r="8" customFormat="false" ht="15" hidden="false" customHeight="false" outlineLevel="0" collapsed="false">
      <c r="A8" s="5" t="n">
        <v>2</v>
      </c>
      <c r="B8" s="0" t="n">
        <v>100218</v>
      </c>
      <c r="C8" s="0" t="s">
        <v>12</v>
      </c>
      <c r="D8" s="6" t="n">
        <v>108.61</v>
      </c>
      <c r="E8" s="7" t="n">
        <f aca="false">A8*D8</f>
        <v>217.22</v>
      </c>
    </row>
    <row r="9" customFormat="false" ht="15" hidden="false" customHeight="false" outlineLevel="0" collapsed="false">
      <c r="A9" s="5" t="n">
        <v>4</v>
      </c>
      <c r="B9" s="0" t="n">
        <v>100239</v>
      </c>
      <c r="C9" s="0" t="s">
        <v>13</v>
      </c>
      <c r="D9" s="6" t="n">
        <v>78.86</v>
      </c>
      <c r="E9" s="7" t="n">
        <f aca="false">A9*D9</f>
        <v>315.44</v>
      </c>
    </row>
    <row r="10" customFormat="false" ht="15" hidden="false" customHeight="false" outlineLevel="0" collapsed="false">
      <c r="A10" s="5" t="n">
        <v>1</v>
      </c>
      <c r="B10" s="0" t="n">
        <v>100246</v>
      </c>
      <c r="C10" s="0" t="s">
        <v>14</v>
      </c>
      <c r="D10" s="6" t="n">
        <v>512.1</v>
      </c>
      <c r="E10" s="7" t="n">
        <f aca="false">A10*D10</f>
        <v>512.1</v>
      </c>
    </row>
    <row r="11" customFormat="false" ht="15" hidden="false" customHeight="false" outlineLevel="0" collapsed="false">
      <c r="A11" s="5" t="n">
        <v>1</v>
      </c>
      <c r="B11" s="0" t="n">
        <v>100284</v>
      </c>
      <c r="C11" s="0" t="s">
        <v>15</v>
      </c>
      <c r="D11" s="6" t="n">
        <v>198.7</v>
      </c>
      <c r="E11" s="7" t="n">
        <f aca="false">A11*D11</f>
        <v>198.7</v>
      </c>
    </row>
    <row r="12" customFormat="false" ht="15" hidden="false" customHeight="false" outlineLevel="0" collapsed="false">
      <c r="A12" s="5" t="n">
        <v>2</v>
      </c>
      <c r="B12" s="0" t="n">
        <v>100288</v>
      </c>
      <c r="C12" s="0" t="s">
        <v>16</v>
      </c>
      <c r="D12" s="6" t="n">
        <v>303.34</v>
      </c>
      <c r="E12" s="7" t="n">
        <f aca="false">A12*D12</f>
        <v>606.68</v>
      </c>
    </row>
    <row r="13" customFormat="false" ht="15" hidden="false" customHeight="false" outlineLevel="0" collapsed="false">
      <c r="A13" s="5" t="n">
        <v>5</v>
      </c>
      <c r="B13" s="0" t="n">
        <v>100308</v>
      </c>
      <c r="C13" s="0" t="s">
        <v>17</v>
      </c>
      <c r="D13" s="6" t="n">
        <v>303.34</v>
      </c>
      <c r="E13" s="7" t="n">
        <f aca="false">A13*D13</f>
        <v>1516.7</v>
      </c>
    </row>
    <row r="14" customFormat="false" ht="15" hidden="false" customHeight="false" outlineLevel="0" collapsed="false">
      <c r="A14" s="5" t="n">
        <v>3</v>
      </c>
      <c r="B14" s="0" t="n">
        <v>100309</v>
      </c>
      <c r="C14" s="0" t="s">
        <v>18</v>
      </c>
      <c r="D14" s="6" t="n">
        <v>303.34</v>
      </c>
      <c r="E14" s="7" t="n">
        <f aca="false">A14*D14</f>
        <v>910.02</v>
      </c>
    </row>
    <row r="15" customFormat="false" ht="15" hidden="false" customHeight="false" outlineLevel="0" collapsed="false">
      <c r="A15" s="5" t="n">
        <v>1</v>
      </c>
      <c r="B15" s="0" t="n">
        <v>100325</v>
      </c>
      <c r="C15" s="0" t="s">
        <v>19</v>
      </c>
      <c r="D15" s="6" t="n">
        <v>78.86</v>
      </c>
      <c r="E15" s="7" t="n">
        <f aca="false">A15*D15</f>
        <v>78.86</v>
      </c>
    </row>
    <row r="16" customFormat="false" ht="15" hidden="false" customHeight="false" outlineLevel="0" collapsed="false">
      <c r="A16" s="5" t="n">
        <v>3</v>
      </c>
      <c r="B16" s="0" t="n">
        <v>100327</v>
      </c>
      <c r="C16" s="0" t="s">
        <v>20</v>
      </c>
      <c r="D16" s="6" t="n">
        <v>46.91</v>
      </c>
      <c r="E16" s="7" t="n">
        <f aca="false">A16*D16</f>
        <v>140.73</v>
      </c>
    </row>
    <row r="17" customFormat="false" ht="15" hidden="false" customHeight="false" outlineLevel="0" collapsed="false">
      <c r="A17" s="5" t="n">
        <v>55</v>
      </c>
      <c r="B17" s="0" t="n">
        <v>100330</v>
      </c>
      <c r="C17" s="0" t="s">
        <v>21</v>
      </c>
      <c r="D17" s="6" t="n">
        <v>85.27</v>
      </c>
      <c r="E17" s="7" t="n">
        <f aca="false">A17*D17</f>
        <v>4689.85</v>
      </c>
    </row>
    <row r="18" customFormat="false" ht="15" hidden="false" customHeight="false" outlineLevel="0" collapsed="false">
      <c r="A18" s="5" t="n">
        <v>1</v>
      </c>
      <c r="B18" s="0" t="n">
        <v>100341</v>
      </c>
      <c r="C18" s="0" t="s">
        <v>22</v>
      </c>
      <c r="D18" s="6" t="n">
        <v>150</v>
      </c>
      <c r="E18" s="7" t="n">
        <f aca="false">A18*D18</f>
        <v>150</v>
      </c>
    </row>
    <row r="19" customFormat="false" ht="15" hidden="false" customHeight="false" outlineLevel="0" collapsed="false">
      <c r="A19" s="5" t="n">
        <v>7</v>
      </c>
      <c r="B19" s="0" t="n">
        <v>100395</v>
      </c>
      <c r="C19" s="0" t="s">
        <v>23</v>
      </c>
      <c r="D19" s="6" t="n">
        <v>96.29</v>
      </c>
      <c r="E19" s="7" t="n">
        <f aca="false">A19*D19</f>
        <v>674.03</v>
      </c>
    </row>
    <row r="20" customFormat="false" ht="15" hidden="false" customHeight="false" outlineLevel="0" collapsed="false">
      <c r="A20" s="5" t="n">
        <v>1</v>
      </c>
      <c r="B20" s="0" t="n">
        <v>100401</v>
      </c>
      <c r="C20" s="0" t="s">
        <v>24</v>
      </c>
      <c r="D20" s="6" t="n">
        <v>625</v>
      </c>
      <c r="E20" s="7" t="n">
        <f aca="false">A20*D20</f>
        <v>625</v>
      </c>
    </row>
    <row r="21" customFormat="false" ht="15" hidden="false" customHeight="false" outlineLevel="0" collapsed="false">
      <c r="A21" s="5" t="n">
        <v>2</v>
      </c>
      <c r="B21" s="0" t="n">
        <v>100420</v>
      </c>
      <c r="C21" s="0" t="s">
        <v>25</v>
      </c>
      <c r="D21" s="6" t="n">
        <v>109.6</v>
      </c>
      <c r="E21" s="7" t="n">
        <f aca="false">A21*D21</f>
        <v>219.2</v>
      </c>
    </row>
    <row r="22" customFormat="false" ht="15" hidden="false" customHeight="false" outlineLevel="0" collapsed="false">
      <c r="A22" s="5" t="n">
        <v>11</v>
      </c>
      <c r="B22" s="0" t="n">
        <v>100422</v>
      </c>
      <c r="C22" s="0" t="s">
        <v>26</v>
      </c>
      <c r="D22" s="6" t="n">
        <v>98.07</v>
      </c>
      <c r="E22" s="7" t="n">
        <f aca="false">A22*D22</f>
        <v>1078.77</v>
      </c>
    </row>
    <row r="23" customFormat="false" ht="15" hidden="false" customHeight="false" outlineLevel="0" collapsed="false">
      <c r="A23" s="5" t="n">
        <v>11</v>
      </c>
      <c r="B23" s="0" t="n">
        <v>100461</v>
      </c>
      <c r="C23" s="0" t="s">
        <v>27</v>
      </c>
      <c r="D23" s="6" t="n">
        <v>192.76</v>
      </c>
      <c r="E23" s="7" t="n">
        <f aca="false">A23*D23</f>
        <v>2120.36</v>
      </c>
    </row>
    <row r="24" customFormat="false" ht="15" hidden="false" customHeight="false" outlineLevel="0" collapsed="false">
      <c r="A24" s="5" t="n">
        <v>2</v>
      </c>
      <c r="B24" s="0" t="n">
        <v>100466</v>
      </c>
      <c r="C24" s="0" t="s">
        <v>28</v>
      </c>
      <c r="D24" s="6" t="n">
        <v>108.32</v>
      </c>
      <c r="E24" s="7" t="n">
        <f aca="false">A24*D24</f>
        <v>216.64</v>
      </c>
    </row>
    <row r="25" customFormat="false" ht="15" hidden="false" customHeight="false" outlineLevel="0" collapsed="false">
      <c r="A25" s="5" t="n">
        <v>1</v>
      </c>
      <c r="B25" s="0" t="n">
        <v>100471</v>
      </c>
      <c r="C25" s="0" t="s">
        <v>29</v>
      </c>
      <c r="D25" s="6" t="n">
        <v>203.22</v>
      </c>
      <c r="E25" s="7" t="n">
        <f aca="false">A25*D25</f>
        <v>203.22</v>
      </c>
      <c r="F25" s="0" t="s">
        <v>30</v>
      </c>
    </row>
    <row r="26" customFormat="false" ht="15" hidden="false" customHeight="false" outlineLevel="0" collapsed="false">
      <c r="A26" s="5" t="n">
        <v>2</v>
      </c>
      <c r="B26" s="0" t="n">
        <v>100476</v>
      </c>
      <c r="C26" s="0" t="s">
        <v>31</v>
      </c>
      <c r="D26" s="6" t="n">
        <v>239.52</v>
      </c>
      <c r="E26" s="7" t="n">
        <f aca="false">A26*D26</f>
        <v>479.04</v>
      </c>
      <c r="F26" s="0" t="s">
        <v>32</v>
      </c>
    </row>
    <row r="27" customFormat="false" ht="15" hidden="false" customHeight="false" outlineLevel="0" collapsed="false">
      <c r="A27" s="5" t="n">
        <v>1</v>
      </c>
      <c r="B27" s="0" t="n">
        <v>100481</v>
      </c>
      <c r="C27" s="0" t="s">
        <v>33</v>
      </c>
      <c r="D27" s="6" t="n">
        <v>302.27</v>
      </c>
      <c r="E27" s="7" t="n">
        <f aca="false">A27*D27</f>
        <v>302.27</v>
      </c>
    </row>
    <row r="28" customFormat="false" ht="15" hidden="false" customHeight="false" outlineLevel="0" collapsed="false">
      <c r="A28" s="5" t="n">
        <v>1</v>
      </c>
      <c r="B28" s="0" t="n">
        <v>100484</v>
      </c>
      <c r="C28" s="0" t="s">
        <v>34</v>
      </c>
      <c r="D28" s="6" t="n">
        <v>567.63</v>
      </c>
      <c r="E28" s="7" t="n">
        <f aca="false">A28*D28</f>
        <v>567.63</v>
      </c>
    </row>
    <row r="29" customFormat="false" ht="15" hidden="false" customHeight="false" outlineLevel="0" collapsed="false">
      <c r="A29" s="5" t="n">
        <v>1</v>
      </c>
      <c r="B29" s="0" t="n">
        <v>100489</v>
      </c>
      <c r="C29" s="0" t="s">
        <v>35</v>
      </c>
      <c r="D29" s="6" t="n">
        <v>57.92</v>
      </c>
      <c r="E29" s="7" t="n">
        <f aca="false">A29*D29</f>
        <v>57.92</v>
      </c>
    </row>
    <row r="30" customFormat="false" ht="15" hidden="false" customHeight="false" outlineLevel="0" collapsed="false">
      <c r="A30" s="5" t="n">
        <v>1</v>
      </c>
      <c r="B30" s="0" t="n">
        <v>100512</v>
      </c>
      <c r="C30" s="0" t="s">
        <v>36</v>
      </c>
      <c r="D30" s="6" t="n">
        <v>495</v>
      </c>
      <c r="E30" s="7" t="n">
        <f aca="false">A30*D30</f>
        <v>495</v>
      </c>
    </row>
    <row r="31" customFormat="false" ht="15" hidden="false" customHeight="false" outlineLevel="0" collapsed="false">
      <c r="A31" s="5" t="n">
        <v>3</v>
      </c>
      <c r="B31" s="0" t="n">
        <v>100551</v>
      </c>
      <c r="C31" s="0" t="s">
        <v>37</v>
      </c>
      <c r="D31" s="6" t="n">
        <v>199</v>
      </c>
      <c r="E31" s="7" t="n">
        <f aca="false">A31*D31</f>
        <v>597</v>
      </c>
    </row>
    <row r="32" customFormat="false" ht="15" hidden="false" customHeight="false" outlineLevel="0" collapsed="false">
      <c r="A32" s="5" t="n">
        <v>1</v>
      </c>
      <c r="B32" s="0" t="n">
        <v>100582</v>
      </c>
      <c r="C32" s="0" t="s">
        <v>38</v>
      </c>
      <c r="D32" s="6" t="n">
        <v>290</v>
      </c>
      <c r="E32" s="7" t="n">
        <f aca="false">A32*D32</f>
        <v>290</v>
      </c>
    </row>
    <row r="33" customFormat="false" ht="15" hidden="false" customHeight="false" outlineLevel="0" collapsed="false">
      <c r="A33" s="5" t="n">
        <v>11</v>
      </c>
      <c r="B33" s="0" t="n">
        <v>100602</v>
      </c>
      <c r="C33" s="0" t="s">
        <v>39</v>
      </c>
      <c r="D33" s="6" t="n">
        <v>84.74</v>
      </c>
      <c r="E33" s="7" t="n">
        <f aca="false">A33*D33</f>
        <v>932.14</v>
      </c>
    </row>
    <row r="34" customFormat="false" ht="15" hidden="false" customHeight="false" outlineLevel="0" collapsed="false">
      <c r="A34" s="5" t="n">
        <v>1</v>
      </c>
      <c r="B34" s="0" t="n">
        <v>100625</v>
      </c>
      <c r="C34" s="0" t="s">
        <v>40</v>
      </c>
      <c r="D34" s="6" t="n">
        <v>109</v>
      </c>
      <c r="E34" s="7" t="n">
        <f aca="false">A34*D34</f>
        <v>109</v>
      </c>
    </row>
    <row r="35" customFormat="false" ht="15" hidden="false" customHeight="false" outlineLevel="0" collapsed="false">
      <c r="A35" s="5" t="n">
        <v>2</v>
      </c>
      <c r="B35" s="0" t="n">
        <v>100637</v>
      </c>
      <c r="C35" s="0" t="s">
        <v>41</v>
      </c>
      <c r="D35" s="6" t="n">
        <v>369</v>
      </c>
      <c r="E35" s="7" t="n">
        <f aca="false">A35*D35</f>
        <v>738</v>
      </c>
    </row>
    <row r="36" customFormat="false" ht="15" hidden="false" customHeight="false" outlineLevel="0" collapsed="false">
      <c r="A36" s="5" t="n">
        <v>1</v>
      </c>
      <c r="B36" s="0" t="n">
        <v>200136</v>
      </c>
      <c r="C36" s="0" t="s">
        <v>42</v>
      </c>
      <c r="D36" s="6" t="n">
        <v>193.92</v>
      </c>
      <c r="E36" s="7" t="n">
        <f aca="false">A36*D36</f>
        <v>193.92</v>
      </c>
    </row>
    <row r="37" customFormat="false" ht="15" hidden="false" customHeight="false" outlineLevel="0" collapsed="false">
      <c r="A37" s="5" t="n">
        <v>2</v>
      </c>
      <c r="B37" s="0" t="n">
        <v>610149</v>
      </c>
      <c r="C37" s="0" t="s">
        <v>43</v>
      </c>
      <c r="D37" s="6" t="n">
        <v>299</v>
      </c>
      <c r="E37" s="7" t="n">
        <f aca="false">A37*D37</f>
        <v>598</v>
      </c>
    </row>
    <row r="38" customFormat="false" ht="15" hidden="false" customHeight="false" outlineLevel="0" collapsed="false">
      <c r="A38" s="5" t="n">
        <v>2</v>
      </c>
      <c r="B38" s="0" t="n">
        <v>610151</v>
      </c>
      <c r="C38" s="0" t="s">
        <v>44</v>
      </c>
      <c r="D38" s="6" t="n">
        <v>249</v>
      </c>
      <c r="E38" s="7" t="n">
        <f aca="false">A38*D38</f>
        <v>498</v>
      </c>
    </row>
    <row r="39" customFormat="false" ht="15" hidden="false" customHeight="false" outlineLevel="0" collapsed="false">
      <c r="A39" s="5" t="n">
        <v>1</v>
      </c>
      <c r="B39" s="0" t="n">
        <v>610152</v>
      </c>
      <c r="C39" s="0" t="s">
        <v>45</v>
      </c>
      <c r="D39" s="6" t="n">
        <v>449</v>
      </c>
      <c r="E39" s="7" t="n">
        <f aca="false">A39*D39</f>
        <v>449</v>
      </c>
    </row>
    <row r="40" customFormat="false" ht="15" hidden="false" customHeight="false" outlineLevel="0" collapsed="false">
      <c r="A40" s="5" t="n">
        <v>2</v>
      </c>
      <c r="B40" s="0" t="n">
        <v>610153</v>
      </c>
      <c r="C40" s="0" t="s">
        <v>46</v>
      </c>
      <c r="D40" s="6" t="n">
        <v>369</v>
      </c>
      <c r="E40" s="7" t="n">
        <f aca="false">A40*D40</f>
        <v>738</v>
      </c>
    </row>
    <row r="41" customFormat="false" ht="15" hidden="false" customHeight="false" outlineLevel="0" collapsed="false">
      <c r="A41" s="5" t="n">
        <v>1</v>
      </c>
      <c r="B41" s="0" t="n">
        <v>610163</v>
      </c>
      <c r="C41" s="0" t="s">
        <v>47</v>
      </c>
      <c r="D41" s="6" t="n">
        <v>369</v>
      </c>
      <c r="E41" s="7" t="n">
        <f aca="false">A41*D41</f>
        <v>369</v>
      </c>
    </row>
    <row r="42" customFormat="false" ht="15" hidden="false" customHeight="false" outlineLevel="0" collapsed="false">
      <c r="A42" s="8"/>
      <c r="B42" s="9"/>
      <c r="C42" s="9"/>
      <c r="D42" s="9"/>
      <c r="E42" s="10"/>
    </row>
    <row r="44" customFormat="false" ht="15" hidden="false" customHeight="false" outlineLevel="0" collapsed="false">
      <c r="C44" s="0" t="s">
        <v>48</v>
      </c>
      <c r="E44" s="6" t="n">
        <f aca="false">SUM(E2:E41)</f>
        <v>23755.37</v>
      </c>
    </row>
    <row r="45" customFormat="false" ht="15" hidden="false" customHeight="false" outlineLevel="0" collapsed="false">
      <c r="C45" s="0" t="s">
        <v>49</v>
      </c>
      <c r="D45" s="11" t="n">
        <v>0.19</v>
      </c>
      <c r="E45" s="6" t="n">
        <f aca="false">D45*E44</f>
        <v>4513.5203</v>
      </c>
    </row>
    <row r="46" customFormat="false" ht="24.75" hidden="false" customHeight="true" outlineLevel="0" collapsed="false">
      <c r="A46" s="12"/>
      <c r="B46" s="12"/>
      <c r="C46" s="12" t="s">
        <v>50</v>
      </c>
      <c r="D46" s="12"/>
      <c r="E46" s="13" t="n">
        <f aca="false">SUM(E44:E45)</f>
        <v>28268.8903</v>
      </c>
    </row>
    <row r="47" customFormat="false" ht="15" hidden="false" customHeight="false" outlineLevel="0" collapsed="false">
      <c r="A47" s="14" t="s">
        <v>51</v>
      </c>
    </row>
  </sheetData>
  <autoFilter ref="A3:E41"/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6" min="4" style="0" width="17"/>
    <col collapsed="false" customWidth="true" hidden="false" outlineLevel="0" max="7" min="7" style="0" width="8"/>
  </cols>
  <sheetData>
    <row r="1" customFormat="false" ht="39.75" hidden="false" customHeight="true" outlineLevel="0" collapsed="false">
      <c r="A1" s="1" t="s">
        <v>52</v>
      </c>
      <c r="B1" s="1"/>
      <c r="C1" s="1"/>
      <c r="D1" s="1"/>
      <c r="E1" s="1"/>
      <c r="F1" s="1"/>
      <c r="G1" s="1"/>
    </row>
    <row r="3" customFormat="false" ht="31.5" hidden="false" customHeight="tru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12" t="s">
        <v>53</v>
      </c>
      <c r="G3" s="12" t="s">
        <v>54</v>
      </c>
    </row>
    <row r="4" customFormat="false" ht="15" hidden="false" customHeight="false" outlineLevel="0" collapsed="false">
      <c r="A4" s="5"/>
      <c r="B4" s="15"/>
      <c r="C4" s="15"/>
      <c r="D4" s="15"/>
      <c r="E4" s="16"/>
    </row>
    <row r="5" customFormat="false" ht="15" hidden="false" customHeight="true" outlineLevel="0" collapsed="false">
      <c r="A5" s="17" t="s">
        <v>55</v>
      </c>
      <c r="B5" s="17"/>
      <c r="C5" s="17"/>
      <c r="D5" s="17"/>
      <c r="E5" s="17"/>
    </row>
    <row r="6" customFormat="false" ht="15" hidden="false" customHeight="false" outlineLevel="0" collapsed="false">
      <c r="A6" s="5" t="n">
        <v>2</v>
      </c>
      <c r="C6" s="0" t="s">
        <v>56</v>
      </c>
      <c r="E6" s="16"/>
    </row>
    <row r="7" customFormat="false" ht="15" hidden="false" customHeight="false" outlineLevel="0" collapsed="false">
      <c r="A7" s="5" t="n">
        <v>1</v>
      </c>
      <c r="B7" s="0" t="n">
        <v>100038</v>
      </c>
      <c r="C7" s="0" t="s">
        <v>6</v>
      </c>
      <c r="D7" s="6" t="n">
        <v>337.57</v>
      </c>
      <c r="E7" s="7" t="n">
        <f aca="false">A7*D7</f>
        <v>337.57</v>
      </c>
    </row>
    <row r="8" customFormat="false" ht="15" hidden="false" customHeight="false" outlineLevel="0" collapsed="false">
      <c r="A8" s="5" t="n">
        <v>2</v>
      </c>
      <c r="B8" s="0" t="n">
        <v>100218</v>
      </c>
      <c r="C8" s="0" t="s">
        <v>12</v>
      </c>
      <c r="D8" s="6" t="n">
        <v>108.61</v>
      </c>
      <c r="E8" s="7" t="n">
        <f aca="false">A8*D8</f>
        <v>217.22</v>
      </c>
    </row>
    <row r="9" customFormat="false" ht="15" hidden="false" customHeight="false" outlineLevel="0" collapsed="false">
      <c r="A9" s="5" t="n">
        <v>1</v>
      </c>
      <c r="B9" s="0" t="n">
        <v>100471</v>
      </c>
      <c r="C9" s="0" t="s">
        <v>29</v>
      </c>
      <c r="D9" s="6" t="n">
        <v>203.22</v>
      </c>
      <c r="E9" s="7" t="n">
        <f aca="false">A9*D9</f>
        <v>203.22</v>
      </c>
    </row>
    <row r="10" customFormat="false" ht="15" hidden="false" customHeight="false" outlineLevel="0" collapsed="false">
      <c r="A10" s="5" t="n">
        <v>1</v>
      </c>
      <c r="B10" s="0" t="n">
        <v>100512</v>
      </c>
      <c r="C10" s="0" t="s">
        <v>36</v>
      </c>
      <c r="D10" s="6" t="n">
        <v>495</v>
      </c>
      <c r="E10" s="7" t="n">
        <f aca="false">A10*D10</f>
        <v>495</v>
      </c>
    </row>
    <row r="11" customFormat="false" ht="15" hidden="false" customHeight="false" outlineLevel="0" collapsed="false">
      <c r="A11" s="5" t="n">
        <v>2</v>
      </c>
      <c r="B11" s="0" t="n">
        <v>100637</v>
      </c>
      <c r="C11" s="0" t="s">
        <v>41</v>
      </c>
      <c r="D11" s="6" t="n">
        <v>369</v>
      </c>
      <c r="E11" s="7" t="n">
        <f aca="false">A11*D11</f>
        <v>738</v>
      </c>
      <c r="F11" s="6" t="n">
        <f aca="false">SUM(E6:E11)</f>
        <v>1991.01</v>
      </c>
      <c r="G11" s="18" t="n">
        <f aca="false">F11/SUM(F5:F1000)</f>
        <v>0.0838130494284029</v>
      </c>
    </row>
    <row r="12" customFormat="false" ht="15" hidden="false" customHeight="false" outlineLevel="0" collapsed="false">
      <c r="A12" s="5"/>
      <c r="B12" s="15"/>
      <c r="C12" s="15"/>
      <c r="D12" s="15"/>
      <c r="E12" s="16"/>
    </row>
    <row r="13" customFormat="false" ht="15" hidden="false" customHeight="true" outlineLevel="0" collapsed="false">
      <c r="A13" s="17" t="s">
        <v>57</v>
      </c>
      <c r="B13" s="17"/>
      <c r="C13" s="17"/>
      <c r="D13" s="17"/>
      <c r="E13" s="17"/>
    </row>
    <row r="14" customFormat="false" ht="15" hidden="false" customHeight="false" outlineLevel="0" collapsed="false">
      <c r="A14" s="5" t="n">
        <v>1</v>
      </c>
      <c r="B14" s="0" t="n">
        <v>100284</v>
      </c>
      <c r="C14" s="0" t="s">
        <v>15</v>
      </c>
      <c r="D14" s="6" t="n">
        <v>198.7</v>
      </c>
      <c r="E14" s="7" t="n">
        <f aca="false">A14*D14</f>
        <v>198.7</v>
      </c>
    </row>
    <row r="15" customFormat="false" ht="15" hidden="false" customHeight="false" outlineLevel="0" collapsed="false">
      <c r="A15" s="5" t="n">
        <v>1</v>
      </c>
      <c r="B15" s="0" t="n">
        <v>100341</v>
      </c>
      <c r="C15" s="0" t="s">
        <v>22</v>
      </c>
      <c r="D15" s="6" t="n">
        <v>150</v>
      </c>
      <c r="E15" s="7" t="n">
        <f aca="false">A15*D15</f>
        <v>150</v>
      </c>
    </row>
    <row r="16" customFormat="false" ht="15" hidden="false" customHeight="false" outlineLevel="0" collapsed="false">
      <c r="A16" s="5" t="n">
        <v>11</v>
      </c>
      <c r="B16" s="0" t="n">
        <v>100461</v>
      </c>
      <c r="C16" s="0" t="s">
        <v>27</v>
      </c>
      <c r="D16" s="6" t="n">
        <v>192.76</v>
      </c>
      <c r="E16" s="7" t="n">
        <f aca="false">A16*D16</f>
        <v>2120.36</v>
      </c>
    </row>
    <row r="17" customFormat="false" ht="15" hidden="false" customHeight="false" outlineLevel="0" collapsed="false">
      <c r="A17" s="5" t="n">
        <v>2</v>
      </c>
      <c r="B17" s="0" t="n">
        <v>100476</v>
      </c>
      <c r="C17" s="0" t="s">
        <v>31</v>
      </c>
      <c r="D17" s="6" t="n">
        <v>239.52</v>
      </c>
      <c r="E17" s="7" t="n">
        <f aca="false">A17*D17</f>
        <v>479.04</v>
      </c>
    </row>
    <row r="18" customFormat="false" ht="15" hidden="false" customHeight="false" outlineLevel="0" collapsed="false">
      <c r="A18" s="5" t="n">
        <v>1</v>
      </c>
      <c r="B18" s="0" t="n">
        <v>100625</v>
      </c>
      <c r="C18" s="0" t="s">
        <v>40</v>
      </c>
      <c r="D18" s="6" t="n">
        <v>109</v>
      </c>
      <c r="E18" s="7" t="n">
        <f aca="false">A18*D18</f>
        <v>109</v>
      </c>
      <c r="F18" s="6" t="n">
        <f aca="false">SUM(E14:E18)</f>
        <v>3057.1</v>
      </c>
      <c r="G18" s="18" t="n">
        <f aca="false">F18/SUM(F5:F1000)</f>
        <v>0.128690902309667</v>
      </c>
    </row>
    <row r="19" customFormat="false" ht="15" hidden="false" customHeight="false" outlineLevel="0" collapsed="false">
      <c r="A19" s="5"/>
      <c r="B19" s="15"/>
      <c r="C19" s="15"/>
      <c r="D19" s="15"/>
      <c r="E19" s="16"/>
    </row>
    <row r="20" customFormat="false" ht="15" hidden="false" customHeight="true" outlineLevel="0" collapsed="false">
      <c r="A20" s="17" t="s">
        <v>58</v>
      </c>
      <c r="B20" s="17"/>
      <c r="C20" s="17"/>
      <c r="D20" s="17"/>
      <c r="E20" s="17"/>
    </row>
    <row r="21" customFormat="false" ht="15" hidden="false" customHeight="false" outlineLevel="0" collapsed="false">
      <c r="A21" s="5" t="n">
        <v>1</v>
      </c>
      <c r="B21" s="0" t="n">
        <v>100246</v>
      </c>
      <c r="C21" s="0" t="s">
        <v>14</v>
      </c>
      <c r="D21" s="6" t="n">
        <v>512.1</v>
      </c>
      <c r="E21" s="7" t="n">
        <f aca="false">A21*D21</f>
        <v>512.1</v>
      </c>
    </row>
    <row r="22" customFormat="false" ht="15" hidden="false" customHeight="false" outlineLevel="0" collapsed="false">
      <c r="A22" s="5" t="n">
        <v>7</v>
      </c>
      <c r="B22" s="0" t="n">
        <v>100395</v>
      </c>
      <c r="C22" s="0" t="s">
        <v>23</v>
      </c>
      <c r="D22" s="6" t="n">
        <v>96.29</v>
      </c>
      <c r="E22" s="7" t="n">
        <f aca="false">A22*D22</f>
        <v>674.03</v>
      </c>
      <c r="F22" s="6" t="n">
        <f aca="false">SUM(E21:E22)</f>
        <v>1186.13</v>
      </c>
      <c r="G22" s="18" t="n">
        <f aca="false">F22/SUM(F5:F1000)</f>
        <v>0.0499310261216727</v>
      </c>
    </row>
    <row r="23" customFormat="false" ht="15" hidden="false" customHeight="false" outlineLevel="0" collapsed="false">
      <c r="A23" s="5"/>
      <c r="B23" s="15"/>
      <c r="C23" s="15"/>
      <c r="D23" s="15"/>
      <c r="E23" s="16"/>
    </row>
    <row r="24" customFormat="false" ht="15" hidden="false" customHeight="true" outlineLevel="0" collapsed="false">
      <c r="A24" s="17" t="s">
        <v>59</v>
      </c>
      <c r="B24" s="17"/>
      <c r="C24" s="17"/>
      <c r="D24" s="17"/>
      <c r="E24" s="17"/>
    </row>
    <row r="25" customFormat="false" ht="15" hidden="false" customHeight="false" outlineLevel="0" collapsed="false">
      <c r="A25" s="5" t="n">
        <v>11</v>
      </c>
      <c r="B25" s="0" t="n">
        <v>100602</v>
      </c>
      <c r="C25" s="0" t="s">
        <v>39</v>
      </c>
      <c r="D25" s="6" t="n">
        <v>84.74</v>
      </c>
      <c r="E25" s="7" t="n">
        <f aca="false">A25*D25</f>
        <v>932.14</v>
      </c>
      <c r="F25" s="6" t="n">
        <f aca="false">SUM(E25)</f>
        <v>932.14</v>
      </c>
      <c r="G25" s="18" t="n">
        <f aca="false">F25/SUM(F5:F1000)</f>
        <v>0.0392391278266767</v>
      </c>
    </row>
    <row r="26" customFormat="false" ht="15" hidden="false" customHeight="false" outlineLevel="0" collapsed="false">
      <c r="A26" s="5"/>
      <c r="B26" s="15"/>
      <c r="C26" s="15"/>
      <c r="D26" s="15"/>
      <c r="E26" s="16"/>
    </row>
    <row r="27" customFormat="false" ht="15" hidden="false" customHeight="true" outlineLevel="0" collapsed="false">
      <c r="A27" s="17" t="s">
        <v>60</v>
      </c>
      <c r="B27" s="17"/>
      <c r="C27" s="17"/>
      <c r="D27" s="17"/>
      <c r="E27" s="17"/>
    </row>
    <row r="28" customFormat="false" ht="15" hidden="false" customHeight="false" outlineLevel="0" collapsed="false">
      <c r="A28" s="5" t="n">
        <v>2</v>
      </c>
      <c r="B28" s="0" t="n">
        <v>100420</v>
      </c>
      <c r="C28" s="0" t="s">
        <v>25</v>
      </c>
      <c r="D28" s="6" t="n">
        <v>109.6</v>
      </c>
      <c r="E28" s="7" t="n">
        <f aca="false">A28*D28</f>
        <v>219.2</v>
      </c>
    </row>
    <row r="29" customFormat="false" ht="15" hidden="false" customHeight="false" outlineLevel="0" collapsed="false">
      <c r="A29" s="5" t="n">
        <v>11</v>
      </c>
      <c r="B29" s="0" t="n">
        <v>100422</v>
      </c>
      <c r="C29" s="0" t="s">
        <v>26</v>
      </c>
      <c r="D29" s="6" t="n">
        <v>98.07</v>
      </c>
      <c r="E29" s="7" t="n">
        <f aca="false">A29*D29</f>
        <v>1078.77</v>
      </c>
    </row>
    <row r="30" customFormat="false" ht="15" hidden="false" customHeight="false" outlineLevel="0" collapsed="false">
      <c r="A30" s="5" t="n">
        <v>2</v>
      </c>
      <c r="B30" s="0" t="n">
        <v>100466</v>
      </c>
      <c r="C30" s="0" t="s">
        <v>28</v>
      </c>
      <c r="D30" s="6" t="n">
        <v>108.32</v>
      </c>
      <c r="E30" s="7" t="n">
        <f aca="false">A30*D30</f>
        <v>216.64</v>
      </c>
      <c r="F30" s="6" t="n">
        <f aca="false">SUM(E28:E30)</f>
        <v>1514.61</v>
      </c>
      <c r="G30" s="18" t="n">
        <f aca="false">F30/SUM(F5:F1000)</f>
        <v>0.0637586364683017</v>
      </c>
    </row>
    <row r="31" customFormat="false" ht="15" hidden="false" customHeight="false" outlineLevel="0" collapsed="false">
      <c r="A31" s="5"/>
      <c r="B31" s="15"/>
      <c r="C31" s="15"/>
      <c r="D31" s="15"/>
      <c r="E31" s="16"/>
    </row>
    <row r="32" customFormat="false" ht="15" hidden="false" customHeight="true" outlineLevel="0" collapsed="false">
      <c r="A32" s="17" t="s">
        <v>61</v>
      </c>
      <c r="B32" s="17"/>
      <c r="C32" s="17"/>
      <c r="D32" s="17"/>
      <c r="E32" s="17"/>
    </row>
    <row r="33" customFormat="false" ht="15" hidden="false" customHeight="false" outlineLevel="0" collapsed="false">
      <c r="A33" s="5" t="n">
        <v>8</v>
      </c>
      <c r="B33" s="0" t="n">
        <v>100142</v>
      </c>
      <c r="C33" s="0" t="s">
        <v>9</v>
      </c>
      <c r="D33" s="6" t="n">
        <v>114.68</v>
      </c>
      <c r="E33" s="7" t="n">
        <f aca="false">A33*D33</f>
        <v>917.44</v>
      </c>
    </row>
    <row r="34" customFormat="false" ht="15" hidden="false" customHeight="false" outlineLevel="0" collapsed="false">
      <c r="A34" s="5" t="n">
        <v>1</v>
      </c>
      <c r="B34" s="0" t="n">
        <v>100202</v>
      </c>
      <c r="C34" s="0" t="s">
        <v>10</v>
      </c>
      <c r="D34" s="6" t="n">
        <v>382.88</v>
      </c>
      <c r="E34" s="7" t="n">
        <f aca="false">A34*D34</f>
        <v>382.88</v>
      </c>
      <c r="F34" s="6" t="n">
        <f aca="false">SUM(E33:E34)</f>
        <v>1300.32</v>
      </c>
      <c r="G34" s="18" t="n">
        <f aca="false">F34/SUM(F5:F1000)</f>
        <v>0.0547379392533141</v>
      </c>
    </row>
    <row r="35" customFormat="false" ht="15" hidden="false" customHeight="false" outlineLevel="0" collapsed="false">
      <c r="A35" s="5"/>
      <c r="B35" s="15"/>
      <c r="C35" s="15"/>
      <c r="D35" s="15"/>
      <c r="E35" s="16"/>
    </row>
    <row r="36" customFormat="false" ht="15" hidden="false" customHeight="true" outlineLevel="0" collapsed="false">
      <c r="A36" s="17" t="s">
        <v>62</v>
      </c>
      <c r="B36" s="17"/>
      <c r="C36" s="17"/>
      <c r="D36" s="17"/>
      <c r="E36" s="17"/>
    </row>
    <row r="37" customFormat="false" ht="15" hidden="false" customHeight="false" outlineLevel="0" collapsed="false">
      <c r="A37" s="5" t="n">
        <v>1</v>
      </c>
      <c r="B37" s="0" t="n">
        <v>100481</v>
      </c>
      <c r="C37" s="0" t="s">
        <v>33</v>
      </c>
      <c r="D37" s="6" t="n">
        <v>302.27</v>
      </c>
      <c r="E37" s="7" t="n">
        <f aca="false">A37*D37</f>
        <v>302.27</v>
      </c>
    </row>
    <row r="38" customFormat="false" ht="15" hidden="false" customHeight="false" outlineLevel="0" collapsed="false">
      <c r="A38" s="5" t="n">
        <v>1</v>
      </c>
      <c r="B38" s="0" t="n">
        <v>100484</v>
      </c>
      <c r="C38" s="0" t="s">
        <v>34</v>
      </c>
      <c r="D38" s="6" t="n">
        <v>567.63</v>
      </c>
      <c r="E38" s="7" t="n">
        <f aca="false">A38*D38</f>
        <v>567.63</v>
      </c>
    </row>
    <row r="39" customFormat="false" ht="15" hidden="false" customHeight="false" outlineLevel="0" collapsed="false">
      <c r="A39" s="5" t="n">
        <v>1</v>
      </c>
      <c r="B39" s="0" t="n">
        <v>100489</v>
      </c>
      <c r="C39" s="0" t="s">
        <v>35</v>
      </c>
      <c r="D39" s="6" t="n">
        <v>57.92</v>
      </c>
      <c r="E39" s="7" t="n">
        <f aca="false">A39*D39</f>
        <v>57.92</v>
      </c>
      <c r="F39" s="6" t="n">
        <f aca="false">SUM(E37:E39)</f>
        <v>927.82</v>
      </c>
      <c r="G39" s="18" t="n">
        <f aca="false">F39/SUM(F5:F1000)</f>
        <v>0.0390572742078949</v>
      </c>
    </row>
    <row r="40" customFormat="false" ht="15" hidden="false" customHeight="false" outlineLevel="0" collapsed="false">
      <c r="A40" s="5"/>
      <c r="B40" s="15"/>
      <c r="C40" s="15"/>
      <c r="D40" s="15"/>
      <c r="E40" s="16"/>
    </row>
    <row r="41" customFormat="false" ht="15" hidden="false" customHeight="true" outlineLevel="0" collapsed="false">
      <c r="A41" s="17" t="s">
        <v>63</v>
      </c>
      <c r="B41" s="17"/>
      <c r="C41" s="17"/>
      <c r="D41" s="17"/>
      <c r="E41" s="17"/>
    </row>
    <row r="42" customFormat="false" ht="15" hidden="false" customHeight="false" outlineLevel="0" collapsed="false">
      <c r="A42" s="5" t="n">
        <v>4</v>
      </c>
      <c r="C42" s="0" t="s">
        <v>56</v>
      </c>
      <c r="E42" s="16"/>
    </row>
    <row r="43" customFormat="false" ht="15" hidden="false" customHeight="false" outlineLevel="0" collapsed="false">
      <c r="A43" s="5" t="n">
        <v>4</v>
      </c>
      <c r="B43" s="0" t="n">
        <v>100239</v>
      </c>
      <c r="C43" s="0" t="s">
        <v>13</v>
      </c>
      <c r="D43" s="6" t="n">
        <v>78.86</v>
      </c>
      <c r="E43" s="7" t="n">
        <f aca="false">A43*D43</f>
        <v>315.44</v>
      </c>
    </row>
    <row r="44" customFormat="false" ht="15" hidden="false" customHeight="false" outlineLevel="0" collapsed="false">
      <c r="A44" s="5" t="n">
        <v>2</v>
      </c>
      <c r="B44" s="0" t="n">
        <v>100288</v>
      </c>
      <c r="C44" s="0" t="s">
        <v>16</v>
      </c>
      <c r="D44" s="6" t="n">
        <v>303.34</v>
      </c>
      <c r="E44" s="7" t="n">
        <f aca="false">A44*D44</f>
        <v>606.68</v>
      </c>
    </row>
    <row r="45" customFormat="false" ht="15" hidden="false" customHeight="false" outlineLevel="0" collapsed="false">
      <c r="A45" s="5" t="n">
        <v>5</v>
      </c>
      <c r="B45" s="0" t="n">
        <v>100308</v>
      </c>
      <c r="C45" s="0" t="s">
        <v>17</v>
      </c>
      <c r="D45" s="6" t="n">
        <v>303.34</v>
      </c>
      <c r="E45" s="7" t="n">
        <f aca="false">A45*D45</f>
        <v>1516.7</v>
      </c>
    </row>
    <row r="46" customFormat="false" ht="15" hidden="false" customHeight="false" outlineLevel="0" collapsed="false">
      <c r="A46" s="5" t="n">
        <v>3</v>
      </c>
      <c r="B46" s="0" t="n">
        <v>100309</v>
      </c>
      <c r="C46" s="0" t="s">
        <v>18</v>
      </c>
      <c r="D46" s="6" t="n">
        <v>303.34</v>
      </c>
      <c r="E46" s="7" t="n">
        <f aca="false">A46*D46</f>
        <v>910.02</v>
      </c>
    </row>
    <row r="47" customFormat="false" ht="15" hidden="false" customHeight="false" outlineLevel="0" collapsed="false">
      <c r="A47" s="5" t="n">
        <v>1</v>
      </c>
      <c r="B47" s="0" t="n">
        <v>100325</v>
      </c>
      <c r="C47" s="0" t="s">
        <v>19</v>
      </c>
      <c r="D47" s="6" t="n">
        <v>78.86</v>
      </c>
      <c r="E47" s="7" t="n">
        <f aca="false">A47*D47</f>
        <v>78.86</v>
      </c>
    </row>
    <row r="48" customFormat="false" ht="15" hidden="false" customHeight="false" outlineLevel="0" collapsed="false">
      <c r="A48" s="5" t="n">
        <v>3</v>
      </c>
      <c r="B48" s="0" t="n">
        <v>100327</v>
      </c>
      <c r="C48" s="0" t="s">
        <v>20</v>
      </c>
      <c r="D48" s="6" t="n">
        <v>46.91</v>
      </c>
      <c r="E48" s="7" t="n">
        <f aca="false">A48*D48</f>
        <v>140.73</v>
      </c>
    </row>
    <row r="49" customFormat="false" ht="15" hidden="false" customHeight="false" outlineLevel="0" collapsed="false">
      <c r="A49" s="5" t="n">
        <v>55</v>
      </c>
      <c r="B49" s="0" t="n">
        <v>100330</v>
      </c>
      <c r="C49" s="0" t="s">
        <v>21</v>
      </c>
      <c r="D49" s="6" t="n">
        <v>85.27</v>
      </c>
      <c r="E49" s="7" t="n">
        <f aca="false">A49*D49</f>
        <v>4689.85</v>
      </c>
    </row>
    <row r="50" customFormat="false" ht="15" hidden="false" customHeight="false" outlineLevel="0" collapsed="false">
      <c r="A50" s="5" t="n">
        <v>3</v>
      </c>
      <c r="B50" s="0" t="n">
        <v>100551</v>
      </c>
      <c r="C50" s="0" t="s">
        <v>37</v>
      </c>
      <c r="D50" s="6" t="n">
        <v>199</v>
      </c>
      <c r="E50" s="7" t="n">
        <f aca="false">A50*D50</f>
        <v>597</v>
      </c>
      <c r="F50" s="6" t="n">
        <f aca="false">SUM(E42:E50)</f>
        <v>8855.28</v>
      </c>
      <c r="G50" s="18" t="n">
        <f aca="false">F50/SUM(F5:F1000)</f>
        <v>0.372769609566174</v>
      </c>
    </row>
    <row r="51" customFormat="false" ht="15" hidden="false" customHeight="false" outlineLevel="0" collapsed="false">
      <c r="A51" s="5"/>
      <c r="B51" s="15"/>
      <c r="C51" s="15"/>
      <c r="D51" s="15"/>
      <c r="E51" s="16"/>
    </row>
    <row r="52" customFormat="false" ht="15" hidden="false" customHeight="true" outlineLevel="0" collapsed="false">
      <c r="A52" s="17" t="s">
        <v>64</v>
      </c>
      <c r="B52" s="17"/>
      <c r="C52" s="17"/>
      <c r="D52" s="17"/>
      <c r="E52" s="17"/>
    </row>
    <row r="53" customFormat="false" ht="15" hidden="false" customHeight="false" outlineLevel="0" collapsed="false">
      <c r="A53" s="5" t="n">
        <v>2</v>
      </c>
      <c r="C53" s="0" t="s">
        <v>65</v>
      </c>
      <c r="E53" s="16"/>
    </row>
    <row r="54" customFormat="false" ht="15" hidden="false" customHeight="false" outlineLevel="0" collapsed="false">
      <c r="A54" s="5" t="n">
        <v>2</v>
      </c>
      <c r="C54" s="0" t="s">
        <v>66</v>
      </c>
      <c r="E54" s="16"/>
    </row>
    <row r="55" customFormat="false" ht="15" hidden="false" customHeight="false" outlineLevel="0" collapsed="false">
      <c r="A55" s="5" t="n">
        <v>2</v>
      </c>
      <c r="B55" s="0" t="n">
        <v>610149</v>
      </c>
      <c r="C55" s="0" t="s">
        <v>43</v>
      </c>
      <c r="D55" s="6" t="n">
        <v>299</v>
      </c>
      <c r="E55" s="7" t="n">
        <f aca="false">A55*D55</f>
        <v>598</v>
      </c>
    </row>
    <row r="56" customFormat="false" ht="15" hidden="false" customHeight="false" outlineLevel="0" collapsed="false">
      <c r="A56" s="5" t="n">
        <v>2</v>
      </c>
      <c r="B56" s="0" t="n">
        <v>610151</v>
      </c>
      <c r="C56" s="0" t="s">
        <v>44</v>
      </c>
      <c r="D56" s="6" t="n">
        <v>249</v>
      </c>
      <c r="E56" s="7" t="n">
        <f aca="false">A56*D56</f>
        <v>498</v>
      </c>
    </row>
    <row r="57" customFormat="false" ht="15" hidden="false" customHeight="false" outlineLevel="0" collapsed="false">
      <c r="A57" s="5" t="n">
        <v>1</v>
      </c>
      <c r="B57" s="0" t="n">
        <v>610152</v>
      </c>
      <c r="C57" s="0" t="s">
        <v>45</v>
      </c>
      <c r="D57" s="6" t="n">
        <v>449</v>
      </c>
      <c r="E57" s="7" t="n">
        <f aca="false">A57*D57</f>
        <v>449</v>
      </c>
    </row>
    <row r="58" customFormat="false" ht="15" hidden="false" customHeight="false" outlineLevel="0" collapsed="false">
      <c r="A58" s="5" t="n">
        <v>2</v>
      </c>
      <c r="B58" s="0" t="n">
        <v>610153</v>
      </c>
      <c r="C58" s="0" t="s">
        <v>46</v>
      </c>
      <c r="D58" s="6" t="n">
        <v>369</v>
      </c>
      <c r="E58" s="7" t="n">
        <f aca="false">A58*D58</f>
        <v>738</v>
      </c>
    </row>
    <row r="59" customFormat="false" ht="15" hidden="false" customHeight="false" outlineLevel="0" collapsed="false">
      <c r="A59" s="5" t="n">
        <v>1</v>
      </c>
      <c r="B59" s="0" t="n">
        <v>610163</v>
      </c>
      <c r="C59" s="0" t="s">
        <v>47</v>
      </c>
      <c r="D59" s="6" t="n">
        <v>369</v>
      </c>
      <c r="E59" s="7" t="n">
        <f aca="false">A59*D59</f>
        <v>369</v>
      </c>
      <c r="F59" s="6" t="n">
        <f aca="false">SUM(E53:E59)</f>
        <v>2652</v>
      </c>
      <c r="G59" s="18" t="n">
        <f aca="false">F59/SUM(F5:F1000)</f>
        <v>0.111637915974367</v>
      </c>
    </row>
    <row r="60" customFormat="false" ht="15" hidden="false" customHeight="false" outlineLevel="0" collapsed="false">
      <c r="A60" s="5"/>
      <c r="B60" s="15"/>
      <c r="C60" s="15"/>
      <c r="D60" s="15"/>
      <c r="E60" s="16"/>
    </row>
    <row r="61" customFormat="false" ht="15" hidden="false" customHeight="true" outlineLevel="0" collapsed="false">
      <c r="A61" s="17" t="s">
        <v>67</v>
      </c>
      <c r="B61" s="17"/>
      <c r="C61" s="17"/>
      <c r="D61" s="17"/>
      <c r="E61" s="17"/>
    </row>
    <row r="62" customFormat="false" ht="15" hidden="false" customHeight="false" outlineLevel="0" collapsed="false">
      <c r="A62" s="5" t="n">
        <v>1</v>
      </c>
      <c r="B62" s="0" t="n">
        <v>100401</v>
      </c>
      <c r="C62" s="0" t="s">
        <v>24</v>
      </c>
      <c r="D62" s="6" t="n">
        <v>625</v>
      </c>
      <c r="E62" s="7" t="n">
        <f aca="false">A62*D62</f>
        <v>625</v>
      </c>
      <c r="F62" s="6" t="n">
        <f aca="false">SUM(E62)</f>
        <v>625</v>
      </c>
      <c r="G62" s="18" t="n">
        <f aca="false">F62/SUM(F5:F1000)</f>
        <v>0.0263098406802336</v>
      </c>
    </row>
    <row r="63" customFormat="false" ht="15" hidden="false" customHeight="false" outlineLevel="0" collapsed="false">
      <c r="A63" s="5"/>
      <c r="B63" s="15"/>
      <c r="C63" s="15"/>
      <c r="D63" s="15"/>
      <c r="E63" s="16"/>
    </row>
    <row r="64" customFormat="false" ht="15" hidden="false" customHeight="true" outlineLevel="0" collapsed="false">
      <c r="A64" s="17" t="s">
        <v>68</v>
      </c>
      <c r="B64" s="17"/>
      <c r="C64" s="17"/>
      <c r="D64" s="17"/>
      <c r="E64" s="17"/>
    </row>
    <row r="65" customFormat="false" ht="15" hidden="false" customHeight="false" outlineLevel="0" collapsed="false">
      <c r="A65" s="5" t="n">
        <v>1</v>
      </c>
      <c r="C65" s="0" t="s">
        <v>69</v>
      </c>
      <c r="E65" s="16"/>
    </row>
    <row r="66" customFormat="false" ht="15" hidden="false" customHeight="false" outlineLevel="0" collapsed="false">
      <c r="A66" s="5" t="n">
        <v>1</v>
      </c>
      <c r="B66" s="0" t="n">
        <v>100582</v>
      </c>
      <c r="C66" s="0" t="s">
        <v>38</v>
      </c>
      <c r="D66" s="6" t="n">
        <v>290</v>
      </c>
      <c r="E66" s="7" t="n">
        <f aca="false">A66*D66</f>
        <v>290</v>
      </c>
      <c r="F66" s="6" t="n">
        <f aca="false">SUM(E65:E66)</f>
        <v>290</v>
      </c>
      <c r="G66" s="18" t="n">
        <f aca="false">F66/SUM(F5:F1000)</f>
        <v>0.0122077660756284</v>
      </c>
    </row>
    <row r="67" customFormat="false" ht="15" hidden="false" customHeight="false" outlineLevel="0" collapsed="false">
      <c r="A67" s="5"/>
      <c r="B67" s="15"/>
      <c r="C67" s="15"/>
      <c r="D67" s="15"/>
      <c r="E67" s="16"/>
    </row>
    <row r="68" customFormat="false" ht="15" hidden="false" customHeight="true" outlineLevel="0" collapsed="false">
      <c r="A68" s="17" t="s">
        <v>70</v>
      </c>
      <c r="B68" s="17"/>
      <c r="C68" s="17"/>
      <c r="D68" s="17"/>
      <c r="E68" s="17"/>
    </row>
    <row r="69" customFormat="false" ht="15" hidden="false" customHeight="false" outlineLevel="0" collapsed="false">
      <c r="A69" s="5" t="n">
        <v>3</v>
      </c>
      <c r="B69" s="0" t="n">
        <v>100115</v>
      </c>
      <c r="C69" s="0" t="s">
        <v>7</v>
      </c>
      <c r="D69" s="6" t="n">
        <v>76.68</v>
      </c>
      <c r="E69" s="7" t="n">
        <f aca="false">A69*D69</f>
        <v>230.04</v>
      </c>
    </row>
    <row r="70" customFormat="false" ht="15" hidden="false" customHeight="false" outlineLevel="0" collapsed="false">
      <c r="A70" s="5" t="n">
        <v>1</v>
      </c>
      <c r="B70" s="0" t="n">
        <v>200136</v>
      </c>
      <c r="C70" s="0" t="s">
        <v>42</v>
      </c>
      <c r="D70" s="6" t="n">
        <v>193.92</v>
      </c>
      <c r="E70" s="7" t="n">
        <f aca="false">A70*D70</f>
        <v>193.92</v>
      </c>
      <c r="F70" s="6" t="n">
        <f aca="false">SUM(E69:E70)</f>
        <v>423.96</v>
      </c>
      <c r="G70" s="18" t="n">
        <f aca="false">F70/SUM(F5:F1000)</f>
        <v>0.0178469120876669</v>
      </c>
    </row>
    <row r="71" customFormat="false" ht="15" hidden="false" customHeight="false" outlineLevel="0" collapsed="false">
      <c r="A71" s="8"/>
      <c r="B71" s="9"/>
      <c r="C71" s="9"/>
      <c r="D71" s="9"/>
      <c r="E71" s="10"/>
    </row>
    <row r="73" customFormat="false" ht="15" hidden="false" customHeight="false" outlineLevel="0" collapsed="false">
      <c r="C73" s="0" t="s">
        <v>48</v>
      </c>
      <c r="E73" s="6" t="n">
        <f aca="false">SUM(E2:E70)</f>
        <v>23755.37</v>
      </c>
    </row>
    <row r="74" customFormat="false" ht="15" hidden="false" customHeight="false" outlineLevel="0" collapsed="false">
      <c r="C74" s="0" t="s">
        <v>49</v>
      </c>
      <c r="D74" s="11" t="n">
        <v>0.19</v>
      </c>
      <c r="E74" s="6" t="n">
        <f aca="false">D74*E73</f>
        <v>4513.5203</v>
      </c>
    </row>
    <row r="75" customFormat="false" ht="24.75" hidden="false" customHeight="true" outlineLevel="0" collapsed="false">
      <c r="A75" s="12"/>
      <c r="B75" s="12"/>
      <c r="C75" s="12" t="s">
        <v>50</v>
      </c>
      <c r="D75" s="12"/>
      <c r="E75" s="13" t="n">
        <f aca="false">SUM(E73:E74)</f>
        <v>28268.8903</v>
      </c>
      <c r="F75" s="12"/>
      <c r="G75" s="12"/>
    </row>
    <row r="76" customFormat="false" ht="15" hidden="false" customHeight="false" outlineLevel="0" collapsed="false">
      <c r="A76" s="14" t="s">
        <v>51</v>
      </c>
    </row>
  </sheetData>
  <mergeCells count="13">
    <mergeCell ref="A1:G1"/>
    <mergeCell ref="A5:E5"/>
    <mergeCell ref="A13:E13"/>
    <mergeCell ref="A20:E20"/>
    <mergeCell ref="A24:E24"/>
    <mergeCell ref="A27:E27"/>
    <mergeCell ref="A32:E32"/>
    <mergeCell ref="A36:E36"/>
    <mergeCell ref="A41:E41"/>
    <mergeCell ref="A52:E52"/>
    <mergeCell ref="A61:E61"/>
    <mergeCell ref="A64:E64"/>
    <mergeCell ref="A68:E6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4" min="4" style="0" width="40"/>
    <col collapsed="false" customWidth="true" hidden="false" outlineLevel="0" max="7" min="5" style="0" width="17"/>
    <col collapsed="false" customWidth="true" hidden="false" outlineLevel="0" max="8" min="8" style="0" width="8"/>
  </cols>
  <sheetData>
    <row r="1" customFormat="false" ht="39.75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</row>
    <row r="3" customFormat="false" ht="31.5" hidden="false" customHeight="true" outlineLevel="0" collapsed="false">
      <c r="A3" s="2" t="s">
        <v>1</v>
      </c>
      <c r="B3" s="3" t="s">
        <v>2</v>
      </c>
      <c r="C3" s="3" t="s">
        <v>3</v>
      </c>
      <c r="D3" s="3" t="s">
        <v>72</v>
      </c>
      <c r="E3" s="3" t="s">
        <v>4</v>
      </c>
      <c r="F3" s="4" t="s">
        <v>5</v>
      </c>
      <c r="G3" s="12" t="s">
        <v>73</v>
      </c>
      <c r="H3" s="12" t="s">
        <v>54</v>
      </c>
    </row>
    <row r="4" customFormat="false" ht="15" hidden="false" customHeight="false" outlineLevel="0" collapsed="false">
      <c r="A4" s="5"/>
      <c r="B4" s="15"/>
      <c r="C4" s="15"/>
      <c r="D4" s="15"/>
      <c r="E4" s="15"/>
      <c r="F4" s="16"/>
    </row>
    <row r="5" customFormat="false" ht="15" hidden="false" customHeight="false" outlineLevel="0" collapsed="false">
      <c r="A5" s="5" t="n">
        <v>1</v>
      </c>
      <c r="B5" s="0" t="n">
        <v>100038</v>
      </c>
      <c r="C5" s="0" t="s">
        <v>6</v>
      </c>
      <c r="D5" s="15"/>
      <c r="E5" s="6" t="n">
        <v>337.57</v>
      </c>
      <c r="F5" s="7" t="n">
        <f aca="false">A5*E5</f>
        <v>337.57</v>
      </c>
    </row>
    <row r="6" customFormat="false" ht="15" hidden="false" customHeight="false" outlineLevel="0" collapsed="false">
      <c r="A6" s="5" t="n">
        <v>2</v>
      </c>
      <c r="B6" s="0" t="n">
        <v>100218</v>
      </c>
      <c r="C6" s="0" t="s">
        <v>12</v>
      </c>
      <c r="D6" s="15"/>
      <c r="E6" s="6" t="n">
        <v>108.61</v>
      </c>
      <c r="F6" s="7" t="n">
        <f aca="false">A6*E6</f>
        <v>217.22</v>
      </c>
    </row>
    <row r="7" customFormat="false" ht="15" hidden="false" customHeight="false" outlineLevel="0" collapsed="false">
      <c r="A7" s="5" t="n">
        <v>1</v>
      </c>
      <c r="B7" s="0" t="n">
        <v>100401</v>
      </c>
      <c r="C7" s="0" t="s">
        <v>24</v>
      </c>
      <c r="D7" s="15"/>
      <c r="E7" s="6" t="n">
        <v>625</v>
      </c>
      <c r="F7" s="7" t="n">
        <f aca="false">A7*E7</f>
        <v>625</v>
      </c>
    </row>
    <row r="8" customFormat="false" ht="15" hidden="false" customHeight="false" outlineLevel="0" collapsed="false">
      <c r="A8" s="5" t="n">
        <v>1</v>
      </c>
      <c r="B8" s="0" t="n">
        <v>100471</v>
      </c>
      <c r="C8" s="0" t="s">
        <v>29</v>
      </c>
      <c r="D8" s="15"/>
      <c r="E8" s="6" t="n">
        <v>203.22</v>
      </c>
      <c r="F8" s="7" t="n">
        <f aca="false">A8*E8</f>
        <v>203.22</v>
      </c>
    </row>
    <row r="9" customFormat="false" ht="15" hidden="false" customHeight="false" outlineLevel="0" collapsed="false">
      <c r="A9" s="5" t="n">
        <v>1</v>
      </c>
      <c r="B9" s="0" t="n">
        <v>100512</v>
      </c>
      <c r="C9" s="0" t="s">
        <v>36</v>
      </c>
      <c r="D9" s="15"/>
      <c r="E9" s="6" t="n">
        <v>495</v>
      </c>
      <c r="F9" s="7" t="n">
        <f aca="false">A9*E9</f>
        <v>495</v>
      </c>
      <c r="G9" s="6" t="n">
        <f aca="false">SUM(F5:F9)</f>
        <v>1878.01</v>
      </c>
      <c r="H9" s="18" t="n">
        <f aca="false">G9/SUM(G5:G1000)</f>
        <v>0.0790562302334167</v>
      </c>
    </row>
    <row r="10" customFormat="false" ht="15" hidden="false" customHeight="false" outlineLevel="0" collapsed="false">
      <c r="A10" s="5"/>
      <c r="B10" s="15"/>
      <c r="C10" s="15"/>
      <c r="D10" s="15"/>
      <c r="E10" s="15"/>
      <c r="F10" s="16"/>
    </row>
    <row r="11" customFormat="false" ht="15" hidden="false" customHeight="true" outlineLevel="0" collapsed="false">
      <c r="A11" s="17" t="s">
        <v>74</v>
      </c>
      <c r="B11" s="17"/>
      <c r="C11" s="17"/>
      <c r="D11" s="17"/>
      <c r="E11" s="17"/>
      <c r="F11" s="17"/>
    </row>
    <row r="12" customFormat="false" ht="15" hidden="false" customHeight="false" outlineLevel="0" collapsed="false">
      <c r="A12" s="5" t="n">
        <v>4</v>
      </c>
      <c r="C12" s="0" t="s">
        <v>56</v>
      </c>
      <c r="D12" s="15" t="s">
        <v>75</v>
      </c>
      <c r="F12" s="16"/>
    </row>
    <row r="13" customFormat="false" ht="15" hidden="false" customHeight="false" outlineLevel="0" collapsed="false">
      <c r="A13" s="5" t="n">
        <v>1</v>
      </c>
      <c r="B13" s="0" t="n">
        <v>100246</v>
      </c>
      <c r="C13" s="0" t="s">
        <v>14</v>
      </c>
      <c r="D13" s="15"/>
      <c r="E13" s="6" t="n">
        <v>512.1</v>
      </c>
      <c r="F13" s="7" t="n">
        <f aca="false">A13*E13</f>
        <v>512.1</v>
      </c>
    </row>
    <row r="14" customFormat="false" ht="15" hidden="false" customHeight="false" outlineLevel="0" collapsed="false">
      <c r="A14" s="5" t="n">
        <v>1</v>
      </c>
      <c r="B14" s="0" t="n">
        <v>100466</v>
      </c>
      <c r="C14" s="0" t="s">
        <v>28</v>
      </c>
      <c r="D14" s="15" t="s">
        <v>76</v>
      </c>
      <c r="E14" s="6" t="n">
        <v>108.32</v>
      </c>
      <c r="F14" s="7" t="n">
        <f aca="false">A14*E14</f>
        <v>108.32</v>
      </c>
    </row>
    <row r="15" customFormat="false" ht="15" hidden="false" customHeight="false" outlineLevel="0" collapsed="false">
      <c r="A15" s="5" t="n">
        <v>1</v>
      </c>
      <c r="B15" s="0" t="n">
        <v>100481</v>
      </c>
      <c r="C15" s="0" t="s">
        <v>33</v>
      </c>
      <c r="D15" s="15" t="s">
        <v>77</v>
      </c>
      <c r="E15" s="6" t="n">
        <v>302.27</v>
      </c>
      <c r="F15" s="7" t="n">
        <f aca="false">A15*E15</f>
        <v>302.27</v>
      </c>
    </row>
    <row r="16" customFormat="false" ht="15" hidden="false" customHeight="false" outlineLevel="0" collapsed="false">
      <c r="A16" s="5" t="n">
        <v>1</v>
      </c>
      <c r="B16" s="0" t="n">
        <v>100484</v>
      </c>
      <c r="C16" s="0" t="s">
        <v>34</v>
      </c>
      <c r="D16" s="15" t="s">
        <v>78</v>
      </c>
      <c r="E16" s="6" t="n">
        <v>567.63</v>
      </c>
      <c r="F16" s="7" t="n">
        <f aca="false">A16*E16</f>
        <v>567.63</v>
      </c>
    </row>
    <row r="17" customFormat="false" ht="15" hidden="false" customHeight="false" outlineLevel="0" collapsed="false">
      <c r="A17" s="5" t="n">
        <v>1</v>
      </c>
      <c r="B17" s="0" t="n">
        <v>100489</v>
      </c>
      <c r="C17" s="0" t="s">
        <v>35</v>
      </c>
      <c r="D17" s="15"/>
      <c r="E17" s="6" t="n">
        <v>57.92</v>
      </c>
      <c r="F17" s="7" t="n">
        <f aca="false">A17*E17</f>
        <v>57.92</v>
      </c>
      <c r="G17" s="6" t="n">
        <f aca="false">SUM(F12:F17)</f>
        <v>1548.24</v>
      </c>
      <c r="H17" s="18" t="n">
        <f aca="false">G17/SUM(G5:G1000)</f>
        <v>0.0651743163756237</v>
      </c>
    </row>
    <row r="18" customFormat="false" ht="15" hidden="false" customHeight="false" outlineLevel="0" collapsed="false">
      <c r="A18" s="5"/>
      <c r="B18" s="15"/>
      <c r="C18" s="15"/>
      <c r="D18" s="15"/>
      <c r="E18" s="15"/>
      <c r="F18" s="16"/>
    </row>
    <row r="19" customFormat="false" ht="15" hidden="false" customHeight="true" outlineLevel="0" collapsed="false">
      <c r="A19" s="17" t="s">
        <v>79</v>
      </c>
      <c r="B19" s="17"/>
      <c r="C19" s="17"/>
      <c r="D19" s="17"/>
      <c r="E19" s="17"/>
      <c r="F19" s="17"/>
    </row>
    <row r="20" customFormat="false" ht="15" hidden="false" customHeight="false" outlineLevel="0" collapsed="false">
      <c r="A20" s="5" t="n">
        <v>1</v>
      </c>
      <c r="C20" s="0" t="s">
        <v>56</v>
      </c>
      <c r="D20" s="15" t="s">
        <v>80</v>
      </c>
      <c r="F20" s="16"/>
    </row>
    <row r="21" customFormat="false" ht="15" hidden="false" customHeight="false" outlineLevel="0" collapsed="false">
      <c r="A21" s="5" t="n">
        <v>1</v>
      </c>
      <c r="C21" s="0" t="s">
        <v>56</v>
      </c>
      <c r="D21" s="15" t="s">
        <v>81</v>
      </c>
      <c r="F21" s="16"/>
    </row>
    <row r="22" customFormat="false" ht="15" hidden="false" customHeight="false" outlineLevel="0" collapsed="false">
      <c r="A22" s="5" t="n">
        <v>1</v>
      </c>
      <c r="C22" s="0" t="s">
        <v>66</v>
      </c>
      <c r="D22" s="15"/>
      <c r="F22" s="16"/>
    </row>
    <row r="23" customFormat="false" ht="15" hidden="false" customHeight="false" outlineLevel="0" collapsed="false">
      <c r="A23" s="5" t="n">
        <v>2</v>
      </c>
      <c r="B23" s="0" t="n">
        <v>100239</v>
      </c>
      <c r="C23" s="0" t="s">
        <v>13</v>
      </c>
      <c r="D23" s="15" t="s">
        <v>82</v>
      </c>
      <c r="E23" s="6" t="n">
        <v>78.86</v>
      </c>
      <c r="F23" s="7" t="n">
        <f aca="false">A23*E23</f>
        <v>157.72</v>
      </c>
    </row>
    <row r="24" customFormat="false" ht="15" hidden="false" customHeight="false" outlineLevel="0" collapsed="false">
      <c r="A24" s="5" t="n">
        <v>2</v>
      </c>
      <c r="B24" s="0" t="n">
        <v>100308</v>
      </c>
      <c r="C24" s="0" t="s">
        <v>17</v>
      </c>
      <c r="D24" s="15" t="s">
        <v>83</v>
      </c>
      <c r="E24" s="6" t="n">
        <v>303.34</v>
      </c>
      <c r="F24" s="7" t="n">
        <f aca="false">A24*E24</f>
        <v>606.68</v>
      </c>
    </row>
    <row r="25" customFormat="false" ht="15" hidden="false" customHeight="false" outlineLevel="0" collapsed="false">
      <c r="A25" s="5" t="n">
        <v>8</v>
      </c>
      <c r="B25" s="0" t="n">
        <v>100330</v>
      </c>
      <c r="C25" s="0" t="s">
        <v>21</v>
      </c>
      <c r="D25" s="15" t="s">
        <v>84</v>
      </c>
      <c r="E25" s="6" t="n">
        <v>85.27</v>
      </c>
      <c r="F25" s="7" t="n">
        <f aca="false">A25*E25</f>
        <v>682.16</v>
      </c>
    </row>
    <row r="26" customFormat="false" ht="15" hidden="false" customHeight="false" outlineLevel="0" collapsed="false">
      <c r="A26" s="5" t="n">
        <v>1</v>
      </c>
      <c r="B26" s="0" t="n">
        <v>100422</v>
      </c>
      <c r="C26" s="0" t="s">
        <v>26</v>
      </c>
      <c r="D26" s="15" t="s">
        <v>85</v>
      </c>
      <c r="E26" s="6" t="n">
        <v>98.07</v>
      </c>
      <c r="F26" s="7" t="n">
        <f aca="false">A26*E26</f>
        <v>98.07</v>
      </c>
    </row>
    <row r="27" customFormat="false" ht="15" hidden="false" customHeight="false" outlineLevel="0" collapsed="false">
      <c r="A27" s="5" t="n">
        <v>2</v>
      </c>
      <c r="B27" s="0" t="n">
        <v>100461</v>
      </c>
      <c r="C27" s="0" t="s">
        <v>27</v>
      </c>
      <c r="D27" s="15" t="s">
        <v>86</v>
      </c>
      <c r="E27" s="6" t="n">
        <v>192.76</v>
      </c>
      <c r="F27" s="7" t="n">
        <f aca="false">A27*E27</f>
        <v>385.52</v>
      </c>
    </row>
    <row r="28" customFormat="false" ht="15" hidden="false" customHeight="false" outlineLevel="0" collapsed="false">
      <c r="A28" s="5" t="n">
        <v>1</v>
      </c>
      <c r="B28" s="0" t="n">
        <v>100602</v>
      </c>
      <c r="C28" s="0" t="s">
        <v>39</v>
      </c>
      <c r="D28" s="15"/>
      <c r="E28" s="6" t="n">
        <v>84.74</v>
      </c>
      <c r="F28" s="7" t="n">
        <f aca="false">A28*E28</f>
        <v>84.74</v>
      </c>
    </row>
    <row r="29" customFormat="false" ht="15" hidden="false" customHeight="false" outlineLevel="0" collapsed="false">
      <c r="A29" s="5" t="n">
        <v>1</v>
      </c>
      <c r="B29" s="0" t="n">
        <v>200136</v>
      </c>
      <c r="C29" s="0" t="s">
        <v>42</v>
      </c>
      <c r="D29" s="15"/>
      <c r="E29" s="6" t="n">
        <v>193.92</v>
      </c>
      <c r="F29" s="7" t="n">
        <f aca="false">A29*E29</f>
        <v>193.92</v>
      </c>
    </row>
    <row r="30" customFormat="false" ht="15" hidden="false" customHeight="false" outlineLevel="0" collapsed="false">
      <c r="A30" s="5" t="n">
        <v>1</v>
      </c>
      <c r="B30" s="0" t="n">
        <v>610149</v>
      </c>
      <c r="C30" s="0" t="s">
        <v>43</v>
      </c>
      <c r="D30" s="15"/>
      <c r="E30" s="6" t="n">
        <v>299</v>
      </c>
      <c r="F30" s="7" t="n">
        <f aca="false">A30*E30</f>
        <v>299</v>
      </c>
    </row>
    <row r="31" customFormat="false" ht="15" hidden="false" customHeight="false" outlineLevel="0" collapsed="false">
      <c r="A31" s="5" t="n">
        <v>1</v>
      </c>
      <c r="B31" s="0" t="n">
        <v>610151</v>
      </c>
      <c r="C31" s="0" t="s">
        <v>44</v>
      </c>
      <c r="D31" s="15"/>
      <c r="E31" s="6" t="n">
        <v>249</v>
      </c>
      <c r="F31" s="7" t="n">
        <f aca="false">A31*E31</f>
        <v>249</v>
      </c>
      <c r="G31" s="6" t="n">
        <f aca="false">SUM(F20:F31)</f>
        <v>2756.81</v>
      </c>
      <c r="H31" s="18" t="n">
        <f aca="false">G31/SUM(G5:G1000)</f>
        <v>0.116049971017079</v>
      </c>
    </row>
    <row r="32" customFormat="false" ht="15" hidden="false" customHeight="false" outlineLevel="0" collapsed="false">
      <c r="A32" s="5"/>
      <c r="B32" s="15"/>
      <c r="C32" s="15"/>
      <c r="D32" s="15"/>
      <c r="E32" s="15"/>
      <c r="F32" s="16"/>
    </row>
    <row r="33" customFormat="false" ht="15" hidden="false" customHeight="true" outlineLevel="0" collapsed="false">
      <c r="A33" s="17" t="s">
        <v>87</v>
      </c>
      <c r="B33" s="17"/>
      <c r="C33" s="17"/>
      <c r="D33" s="17"/>
      <c r="E33" s="17"/>
      <c r="F33" s="17"/>
    </row>
    <row r="34" customFormat="false" ht="15" hidden="false" customHeight="false" outlineLevel="0" collapsed="false">
      <c r="A34" s="5" t="n">
        <v>1</v>
      </c>
      <c r="B34" s="0" t="n">
        <v>100142</v>
      </c>
      <c r="C34" s="0" t="s">
        <v>9</v>
      </c>
      <c r="D34" s="15" t="s">
        <v>85</v>
      </c>
      <c r="E34" s="6" t="n">
        <v>114.68</v>
      </c>
      <c r="F34" s="7" t="n">
        <f aca="false">A34*E34</f>
        <v>114.68</v>
      </c>
    </row>
    <row r="35" customFormat="false" ht="15" hidden="false" customHeight="false" outlineLevel="0" collapsed="false">
      <c r="A35" s="5" t="n">
        <v>5</v>
      </c>
      <c r="B35" s="0" t="n">
        <v>100330</v>
      </c>
      <c r="C35" s="0" t="s">
        <v>21</v>
      </c>
      <c r="D35" s="15" t="s">
        <v>84</v>
      </c>
      <c r="E35" s="6" t="n">
        <v>85.27</v>
      </c>
      <c r="F35" s="7" t="n">
        <f aca="false">A35*E35</f>
        <v>426.35</v>
      </c>
    </row>
    <row r="36" customFormat="false" ht="15" hidden="false" customHeight="false" outlineLevel="0" collapsed="false">
      <c r="A36" s="5" t="n">
        <v>1</v>
      </c>
      <c r="B36" s="0" t="n">
        <v>100395</v>
      </c>
      <c r="C36" s="0" t="s">
        <v>23</v>
      </c>
      <c r="D36" s="15"/>
      <c r="E36" s="6" t="n">
        <v>96.29</v>
      </c>
      <c r="F36" s="7" t="n">
        <f aca="false">A36*E36</f>
        <v>96.29</v>
      </c>
    </row>
    <row r="37" customFormat="false" ht="15" hidden="false" customHeight="false" outlineLevel="0" collapsed="false">
      <c r="A37" s="5" t="n">
        <v>1</v>
      </c>
      <c r="B37" s="0" t="n">
        <v>100422</v>
      </c>
      <c r="C37" s="0" t="s">
        <v>26</v>
      </c>
      <c r="D37" s="15" t="s">
        <v>85</v>
      </c>
      <c r="E37" s="6" t="n">
        <v>98.07</v>
      </c>
      <c r="F37" s="7" t="n">
        <f aca="false">A37*E37</f>
        <v>98.07</v>
      </c>
    </row>
    <row r="38" customFormat="false" ht="15" hidden="false" customHeight="false" outlineLevel="0" collapsed="false">
      <c r="A38" s="5" t="n">
        <v>1</v>
      </c>
      <c r="B38" s="0" t="n">
        <v>100461</v>
      </c>
      <c r="C38" s="0" t="s">
        <v>27</v>
      </c>
      <c r="D38" s="15" t="s">
        <v>86</v>
      </c>
      <c r="E38" s="6" t="n">
        <v>192.76</v>
      </c>
      <c r="F38" s="7" t="n">
        <f aca="false">A38*E38</f>
        <v>192.76</v>
      </c>
    </row>
    <row r="39" customFormat="false" ht="15" hidden="false" customHeight="false" outlineLevel="0" collapsed="false">
      <c r="A39" s="5" t="n">
        <v>1</v>
      </c>
      <c r="B39" s="0" t="n">
        <v>100551</v>
      </c>
      <c r="C39" s="0" t="s">
        <v>37</v>
      </c>
      <c r="D39" s="15"/>
      <c r="E39" s="6" t="n">
        <v>199</v>
      </c>
      <c r="F39" s="7" t="n">
        <f aca="false">A39*E39</f>
        <v>199</v>
      </c>
    </row>
    <row r="40" customFormat="false" ht="15" hidden="false" customHeight="false" outlineLevel="0" collapsed="false">
      <c r="A40" s="5" t="n">
        <v>1</v>
      </c>
      <c r="B40" s="0" t="n">
        <v>100602</v>
      </c>
      <c r="C40" s="0" t="s">
        <v>39</v>
      </c>
      <c r="D40" s="15"/>
      <c r="E40" s="6" t="n">
        <v>84.74</v>
      </c>
      <c r="F40" s="7" t="n">
        <f aca="false">A40*E40</f>
        <v>84.74</v>
      </c>
      <c r="G40" s="6" t="n">
        <f aca="false">SUM(F34:F40)</f>
        <v>1211.89</v>
      </c>
      <c r="H40" s="18" t="n">
        <f aca="false">G40/SUM(G5:G1000)</f>
        <v>0.0510154125151492</v>
      </c>
    </row>
    <row r="41" customFormat="false" ht="15" hidden="false" customHeight="false" outlineLevel="0" collapsed="false">
      <c r="A41" s="5"/>
      <c r="B41" s="15"/>
      <c r="C41" s="15"/>
      <c r="D41" s="15"/>
      <c r="E41" s="15"/>
      <c r="F41" s="16"/>
    </row>
    <row r="42" customFormat="false" ht="15" hidden="false" customHeight="true" outlineLevel="0" collapsed="false">
      <c r="A42" s="17" t="s">
        <v>88</v>
      </c>
      <c r="B42" s="17"/>
      <c r="C42" s="17"/>
      <c r="D42" s="17"/>
      <c r="E42" s="17"/>
      <c r="F42" s="17"/>
    </row>
    <row r="43" customFormat="false" ht="15" hidden="false" customHeight="false" outlineLevel="0" collapsed="false">
      <c r="A43" s="5" t="n">
        <v>1</v>
      </c>
      <c r="B43" s="0" t="n">
        <v>100142</v>
      </c>
      <c r="C43" s="0" t="s">
        <v>9</v>
      </c>
      <c r="D43" s="15" t="s">
        <v>85</v>
      </c>
      <c r="E43" s="6" t="n">
        <v>114.68</v>
      </c>
      <c r="F43" s="7" t="n">
        <f aca="false">A43*E43</f>
        <v>114.68</v>
      </c>
    </row>
    <row r="44" customFormat="false" ht="15" hidden="false" customHeight="false" outlineLevel="0" collapsed="false">
      <c r="A44" s="5" t="n">
        <v>5</v>
      </c>
      <c r="B44" s="0" t="n">
        <v>100330</v>
      </c>
      <c r="C44" s="0" t="s">
        <v>21</v>
      </c>
      <c r="D44" s="15" t="s">
        <v>84</v>
      </c>
      <c r="E44" s="6" t="n">
        <v>85.27</v>
      </c>
      <c r="F44" s="7" t="n">
        <f aca="false">A44*E44</f>
        <v>426.35</v>
      </c>
    </row>
    <row r="45" customFormat="false" ht="15" hidden="false" customHeight="false" outlineLevel="0" collapsed="false">
      <c r="A45" s="5" t="n">
        <v>1</v>
      </c>
      <c r="B45" s="0" t="n">
        <v>100395</v>
      </c>
      <c r="C45" s="0" t="s">
        <v>23</v>
      </c>
      <c r="D45" s="15"/>
      <c r="E45" s="6" t="n">
        <v>96.29</v>
      </c>
      <c r="F45" s="7" t="n">
        <f aca="false">A45*E45</f>
        <v>96.29</v>
      </c>
    </row>
    <row r="46" customFormat="false" ht="15" hidden="false" customHeight="false" outlineLevel="0" collapsed="false">
      <c r="A46" s="5" t="n">
        <v>1</v>
      </c>
      <c r="B46" s="0" t="n">
        <v>100422</v>
      </c>
      <c r="C46" s="0" t="s">
        <v>26</v>
      </c>
      <c r="D46" s="15" t="s">
        <v>85</v>
      </c>
      <c r="E46" s="6" t="n">
        <v>98.07</v>
      </c>
      <c r="F46" s="7" t="n">
        <f aca="false">A46*E46</f>
        <v>98.07</v>
      </c>
    </row>
    <row r="47" customFormat="false" ht="15" hidden="false" customHeight="false" outlineLevel="0" collapsed="false">
      <c r="A47" s="5" t="n">
        <v>1</v>
      </c>
      <c r="B47" s="0" t="n">
        <v>100461</v>
      </c>
      <c r="C47" s="0" t="s">
        <v>27</v>
      </c>
      <c r="D47" s="15" t="s">
        <v>86</v>
      </c>
      <c r="E47" s="6" t="n">
        <v>192.76</v>
      </c>
      <c r="F47" s="7" t="n">
        <f aca="false">A47*E47</f>
        <v>192.76</v>
      </c>
    </row>
    <row r="48" customFormat="false" ht="15" hidden="false" customHeight="false" outlineLevel="0" collapsed="false">
      <c r="A48" s="5" t="n">
        <v>1</v>
      </c>
      <c r="B48" s="0" t="n">
        <v>100551</v>
      </c>
      <c r="C48" s="0" t="s">
        <v>37</v>
      </c>
      <c r="D48" s="15"/>
      <c r="E48" s="6" t="n">
        <v>199</v>
      </c>
      <c r="F48" s="7" t="n">
        <f aca="false">A48*E48</f>
        <v>199</v>
      </c>
    </row>
    <row r="49" customFormat="false" ht="15" hidden="false" customHeight="false" outlineLevel="0" collapsed="false">
      <c r="A49" s="5" t="n">
        <v>1</v>
      </c>
      <c r="B49" s="0" t="n">
        <v>100602</v>
      </c>
      <c r="C49" s="0" t="s">
        <v>39</v>
      </c>
      <c r="D49" s="15"/>
      <c r="E49" s="6" t="n">
        <v>84.74</v>
      </c>
      <c r="F49" s="7" t="n">
        <f aca="false">A49*E49</f>
        <v>84.74</v>
      </c>
      <c r="G49" s="6" t="n">
        <f aca="false">SUM(F43:F49)</f>
        <v>1211.89</v>
      </c>
      <c r="H49" s="18" t="n">
        <f aca="false">G49/SUM(G5:G1000)</f>
        <v>0.0510154125151492</v>
      </c>
    </row>
    <row r="50" customFormat="false" ht="15" hidden="false" customHeight="false" outlineLevel="0" collapsed="false">
      <c r="A50" s="5"/>
      <c r="B50" s="15"/>
      <c r="C50" s="15"/>
      <c r="D50" s="15"/>
      <c r="E50" s="15"/>
      <c r="F50" s="16"/>
    </row>
    <row r="51" customFormat="false" ht="15" hidden="false" customHeight="true" outlineLevel="0" collapsed="false">
      <c r="A51" s="17" t="s">
        <v>89</v>
      </c>
      <c r="B51" s="17"/>
      <c r="C51" s="17"/>
      <c r="D51" s="17"/>
      <c r="E51" s="17"/>
      <c r="F51" s="17"/>
    </row>
    <row r="52" customFormat="false" ht="15" hidden="false" customHeight="false" outlineLevel="0" collapsed="false">
      <c r="A52" s="5" t="n">
        <v>1</v>
      </c>
      <c r="B52" s="0" t="n">
        <v>100142</v>
      </c>
      <c r="C52" s="0" t="s">
        <v>9</v>
      </c>
      <c r="D52" s="15" t="s">
        <v>85</v>
      </c>
      <c r="E52" s="6" t="n">
        <v>114.68</v>
      </c>
      <c r="F52" s="7" t="n">
        <f aca="false">A52*E52</f>
        <v>114.68</v>
      </c>
    </row>
    <row r="53" customFormat="false" ht="15" hidden="false" customHeight="false" outlineLevel="0" collapsed="false">
      <c r="A53" s="5" t="n">
        <v>4</v>
      </c>
      <c r="B53" s="0" t="n">
        <v>100330</v>
      </c>
      <c r="C53" s="0" t="s">
        <v>21</v>
      </c>
      <c r="D53" s="15" t="s">
        <v>84</v>
      </c>
      <c r="E53" s="6" t="n">
        <v>85.27</v>
      </c>
      <c r="F53" s="7" t="n">
        <f aca="false">A53*E53</f>
        <v>341.08</v>
      </c>
    </row>
    <row r="54" customFormat="false" ht="15" hidden="false" customHeight="false" outlineLevel="0" collapsed="false">
      <c r="A54" s="5" t="n">
        <v>1</v>
      </c>
      <c r="B54" s="0" t="n">
        <v>100422</v>
      </c>
      <c r="C54" s="0" t="s">
        <v>26</v>
      </c>
      <c r="D54" s="15" t="s">
        <v>85</v>
      </c>
      <c r="E54" s="6" t="n">
        <v>98.07</v>
      </c>
      <c r="F54" s="7" t="n">
        <f aca="false">A54*E54</f>
        <v>98.07</v>
      </c>
    </row>
    <row r="55" customFormat="false" ht="15" hidden="false" customHeight="false" outlineLevel="0" collapsed="false">
      <c r="A55" s="5" t="n">
        <v>1</v>
      </c>
      <c r="B55" s="0" t="n">
        <v>100461</v>
      </c>
      <c r="C55" s="0" t="s">
        <v>27</v>
      </c>
      <c r="D55" s="15" t="s">
        <v>86</v>
      </c>
      <c r="E55" s="6" t="n">
        <v>192.76</v>
      </c>
      <c r="F55" s="7" t="n">
        <f aca="false">A55*E55</f>
        <v>192.76</v>
      </c>
    </row>
    <row r="56" customFormat="false" ht="15" hidden="false" customHeight="false" outlineLevel="0" collapsed="false">
      <c r="A56" s="5" t="n">
        <v>1</v>
      </c>
      <c r="B56" s="0" t="n">
        <v>100551</v>
      </c>
      <c r="C56" s="0" t="s">
        <v>37</v>
      </c>
      <c r="D56" s="15"/>
      <c r="E56" s="6" t="n">
        <v>199</v>
      </c>
      <c r="F56" s="7" t="n">
        <f aca="false">A56*E56</f>
        <v>199</v>
      </c>
    </row>
    <row r="57" customFormat="false" ht="15" hidden="false" customHeight="false" outlineLevel="0" collapsed="false">
      <c r="A57" s="5" t="n">
        <v>1</v>
      </c>
      <c r="B57" s="0" t="n">
        <v>100602</v>
      </c>
      <c r="C57" s="0" t="s">
        <v>39</v>
      </c>
      <c r="D57" s="15"/>
      <c r="E57" s="6" t="n">
        <v>84.74</v>
      </c>
      <c r="F57" s="7" t="n">
        <f aca="false">A57*E57</f>
        <v>84.74</v>
      </c>
      <c r="G57" s="6" t="n">
        <f aca="false">SUM(F52:F57)</f>
        <v>1030.33</v>
      </c>
      <c r="H57" s="18" t="n">
        <f aca="false">G57/SUM(G5:G1000)</f>
        <v>0.0433725090369041</v>
      </c>
    </row>
    <row r="58" customFormat="false" ht="15" hidden="false" customHeight="false" outlineLevel="0" collapsed="false">
      <c r="A58" s="5"/>
      <c r="B58" s="15"/>
      <c r="C58" s="15"/>
      <c r="D58" s="15"/>
      <c r="E58" s="15"/>
      <c r="F58" s="16"/>
    </row>
    <row r="59" customFormat="false" ht="15" hidden="false" customHeight="true" outlineLevel="0" collapsed="false">
      <c r="A59" s="17" t="s">
        <v>90</v>
      </c>
      <c r="B59" s="17"/>
      <c r="C59" s="17"/>
      <c r="D59" s="17"/>
      <c r="E59" s="17"/>
      <c r="F59" s="17"/>
    </row>
    <row r="60" customFormat="false" ht="15" hidden="false" customHeight="false" outlineLevel="0" collapsed="false">
      <c r="A60" s="5" t="n">
        <v>2</v>
      </c>
      <c r="C60" s="0" t="s">
        <v>65</v>
      </c>
      <c r="D60" s="15"/>
      <c r="F60" s="16"/>
    </row>
    <row r="61" customFormat="false" ht="15" hidden="false" customHeight="false" outlineLevel="0" collapsed="false">
      <c r="A61" s="5" t="n">
        <v>3</v>
      </c>
      <c r="B61" s="0" t="n">
        <v>100115</v>
      </c>
      <c r="C61" s="0" t="s">
        <v>7</v>
      </c>
      <c r="D61" s="15"/>
      <c r="E61" s="6" t="n">
        <v>76.68</v>
      </c>
      <c r="F61" s="7" t="n">
        <f aca="false">A61*E61</f>
        <v>230.04</v>
      </c>
    </row>
    <row r="62" customFormat="false" ht="15" hidden="false" customHeight="false" outlineLevel="0" collapsed="false">
      <c r="A62" s="5" t="n">
        <v>1</v>
      </c>
      <c r="B62" s="0" t="n">
        <v>100142</v>
      </c>
      <c r="C62" s="0" t="s">
        <v>9</v>
      </c>
      <c r="D62" s="15" t="s">
        <v>85</v>
      </c>
      <c r="E62" s="6" t="n">
        <v>114.68</v>
      </c>
      <c r="F62" s="7" t="n">
        <f aca="false">A62*E62</f>
        <v>114.68</v>
      </c>
    </row>
    <row r="63" customFormat="false" ht="15" hidden="false" customHeight="false" outlineLevel="0" collapsed="false">
      <c r="A63" s="5" t="n">
        <v>3</v>
      </c>
      <c r="B63" s="0" t="n">
        <v>100309</v>
      </c>
      <c r="C63" s="0" t="s">
        <v>18</v>
      </c>
      <c r="D63" s="15" t="s">
        <v>91</v>
      </c>
      <c r="E63" s="6" t="n">
        <v>303.34</v>
      </c>
      <c r="F63" s="7" t="n">
        <f aca="false">A63*E63</f>
        <v>910.02</v>
      </c>
    </row>
    <row r="64" customFormat="false" ht="15" hidden="false" customHeight="false" outlineLevel="0" collapsed="false">
      <c r="A64" s="5" t="n">
        <v>13</v>
      </c>
      <c r="B64" s="0" t="n">
        <v>100330</v>
      </c>
      <c r="C64" s="0" t="s">
        <v>21</v>
      </c>
      <c r="D64" s="15" t="s">
        <v>84</v>
      </c>
      <c r="E64" s="6" t="n">
        <v>85.27</v>
      </c>
      <c r="F64" s="7" t="n">
        <f aca="false">A64*E64</f>
        <v>1108.51</v>
      </c>
    </row>
    <row r="65" customFormat="false" ht="15" hidden="false" customHeight="false" outlineLevel="0" collapsed="false">
      <c r="A65" s="5" t="n">
        <v>3</v>
      </c>
      <c r="B65" s="0" t="n">
        <v>100395</v>
      </c>
      <c r="C65" s="0" t="s">
        <v>23</v>
      </c>
      <c r="D65" s="15"/>
      <c r="E65" s="6" t="n">
        <v>96.29</v>
      </c>
      <c r="F65" s="7" t="n">
        <f aca="false">A65*E65</f>
        <v>288.87</v>
      </c>
    </row>
    <row r="66" customFormat="false" ht="15" hidden="false" customHeight="false" outlineLevel="0" collapsed="false">
      <c r="A66" s="5" t="n">
        <v>3</v>
      </c>
      <c r="B66" s="0" t="n">
        <v>100422</v>
      </c>
      <c r="C66" s="0" t="s">
        <v>26</v>
      </c>
      <c r="D66" s="15" t="s">
        <v>85</v>
      </c>
      <c r="E66" s="6" t="n">
        <v>98.07</v>
      </c>
      <c r="F66" s="7" t="n">
        <f aca="false">A66*E66</f>
        <v>294.21</v>
      </c>
    </row>
    <row r="67" customFormat="false" ht="15" hidden="false" customHeight="false" outlineLevel="0" collapsed="false">
      <c r="A67" s="5" t="n">
        <v>3</v>
      </c>
      <c r="B67" s="0" t="n">
        <v>100461</v>
      </c>
      <c r="C67" s="0" t="s">
        <v>27</v>
      </c>
      <c r="D67" s="15" t="s">
        <v>86</v>
      </c>
      <c r="E67" s="6" t="n">
        <v>192.76</v>
      </c>
      <c r="F67" s="7" t="n">
        <f aca="false">A67*E67</f>
        <v>578.28</v>
      </c>
    </row>
    <row r="68" customFormat="false" ht="15" hidden="false" customHeight="false" outlineLevel="0" collapsed="false">
      <c r="A68" s="5" t="n">
        <v>2</v>
      </c>
      <c r="B68" s="0" t="n">
        <v>100602</v>
      </c>
      <c r="C68" s="0" t="s">
        <v>39</v>
      </c>
      <c r="D68" s="15"/>
      <c r="E68" s="6" t="n">
        <v>84.74</v>
      </c>
      <c r="F68" s="7" t="n">
        <f aca="false">A68*E68</f>
        <v>169.48</v>
      </c>
    </row>
    <row r="69" customFormat="false" ht="15" hidden="false" customHeight="false" outlineLevel="0" collapsed="false">
      <c r="A69" s="5" t="n">
        <v>1</v>
      </c>
      <c r="B69" s="0" t="n">
        <v>100625</v>
      </c>
      <c r="C69" s="0" t="s">
        <v>40</v>
      </c>
      <c r="D69" s="15"/>
      <c r="E69" s="6" t="n">
        <v>109</v>
      </c>
      <c r="F69" s="7" t="n">
        <f aca="false">A69*E69</f>
        <v>109</v>
      </c>
    </row>
    <row r="70" customFormat="false" ht="15" hidden="false" customHeight="false" outlineLevel="0" collapsed="false">
      <c r="A70" s="5" t="n">
        <v>1</v>
      </c>
      <c r="B70" s="0" t="n">
        <v>610152</v>
      </c>
      <c r="C70" s="0" t="s">
        <v>45</v>
      </c>
      <c r="D70" s="15"/>
      <c r="E70" s="6" t="n">
        <v>449</v>
      </c>
      <c r="F70" s="7" t="n">
        <f aca="false">A70*E70</f>
        <v>449</v>
      </c>
    </row>
    <row r="71" customFormat="false" ht="15" hidden="false" customHeight="false" outlineLevel="0" collapsed="false">
      <c r="A71" s="5" t="n">
        <v>2</v>
      </c>
      <c r="B71" s="0" t="n">
        <v>610153</v>
      </c>
      <c r="C71" s="0" t="s">
        <v>46</v>
      </c>
      <c r="D71" s="15"/>
      <c r="E71" s="6" t="n">
        <v>369</v>
      </c>
      <c r="F71" s="7" t="n">
        <f aca="false">A71*E71</f>
        <v>738</v>
      </c>
    </row>
    <row r="72" customFormat="false" ht="15" hidden="false" customHeight="false" outlineLevel="0" collapsed="false">
      <c r="A72" s="5" t="n">
        <v>1</v>
      </c>
      <c r="B72" s="0" t="n">
        <v>610163</v>
      </c>
      <c r="C72" s="0" t="s">
        <v>47</v>
      </c>
      <c r="D72" s="15"/>
      <c r="E72" s="6" t="n">
        <v>369</v>
      </c>
      <c r="F72" s="7" t="n">
        <f aca="false">A72*E72</f>
        <v>369</v>
      </c>
      <c r="G72" s="6" t="n">
        <f aca="false">SUM(F60:F72)</f>
        <v>5359.09</v>
      </c>
      <c r="H72" s="18" t="n">
        <f aca="false">G72/SUM(G5:G1000)</f>
        <v>0.225594886545653</v>
      </c>
    </row>
    <row r="73" customFormat="false" ht="15" hidden="false" customHeight="false" outlineLevel="0" collapsed="false">
      <c r="A73" s="5"/>
      <c r="B73" s="15"/>
      <c r="C73" s="15"/>
      <c r="D73" s="15"/>
      <c r="E73" s="15"/>
      <c r="F73" s="16"/>
    </row>
    <row r="74" customFormat="false" ht="15" hidden="false" customHeight="true" outlineLevel="0" collapsed="false">
      <c r="A74" s="17" t="s">
        <v>92</v>
      </c>
      <c r="B74" s="17"/>
      <c r="C74" s="17"/>
      <c r="D74" s="17"/>
      <c r="E74" s="17"/>
      <c r="F74" s="17"/>
    </row>
    <row r="75" customFormat="false" ht="15" hidden="false" customHeight="false" outlineLevel="0" collapsed="false">
      <c r="A75" s="5" t="n">
        <v>1</v>
      </c>
      <c r="B75" s="0" t="n">
        <v>100142</v>
      </c>
      <c r="C75" s="0" t="s">
        <v>9</v>
      </c>
      <c r="D75" s="15" t="s">
        <v>85</v>
      </c>
      <c r="E75" s="6" t="n">
        <v>114.68</v>
      </c>
      <c r="F75" s="7" t="n">
        <f aca="false">A75*E75</f>
        <v>114.68</v>
      </c>
    </row>
    <row r="76" customFormat="false" ht="15" hidden="false" customHeight="false" outlineLevel="0" collapsed="false">
      <c r="A76" s="5" t="n">
        <v>3</v>
      </c>
      <c r="B76" s="0" t="n">
        <v>100330</v>
      </c>
      <c r="C76" s="0" t="s">
        <v>21</v>
      </c>
      <c r="D76" s="15"/>
      <c r="E76" s="6" t="n">
        <v>85.27</v>
      </c>
      <c r="F76" s="7" t="n">
        <f aca="false">A76*E76</f>
        <v>255.81</v>
      </c>
    </row>
    <row r="77" customFormat="false" ht="15" hidden="false" customHeight="false" outlineLevel="0" collapsed="false">
      <c r="A77" s="5" t="n">
        <v>1</v>
      </c>
      <c r="B77" s="0" t="n">
        <v>100422</v>
      </c>
      <c r="C77" s="0" t="s">
        <v>26</v>
      </c>
      <c r="D77" s="15"/>
      <c r="E77" s="6" t="n">
        <v>98.07</v>
      </c>
      <c r="F77" s="7" t="n">
        <f aca="false">A77*E77</f>
        <v>98.07</v>
      </c>
    </row>
    <row r="78" customFormat="false" ht="15" hidden="false" customHeight="false" outlineLevel="0" collapsed="false">
      <c r="A78" s="5" t="n">
        <v>1</v>
      </c>
      <c r="B78" s="0" t="n">
        <v>100602</v>
      </c>
      <c r="C78" s="0" t="s">
        <v>39</v>
      </c>
      <c r="D78" s="15"/>
      <c r="E78" s="6" t="n">
        <v>84.74</v>
      </c>
      <c r="F78" s="7" t="n">
        <f aca="false">A78*E78</f>
        <v>84.74</v>
      </c>
      <c r="G78" s="6" t="n">
        <f aca="false">SUM(F75:F78)</f>
        <v>553.3</v>
      </c>
      <c r="H78" s="18" t="n">
        <f aca="false">G78/SUM(G5:G1000)</f>
        <v>0.0232915757573972</v>
      </c>
    </row>
    <row r="79" customFormat="false" ht="15" hidden="false" customHeight="false" outlineLevel="0" collapsed="false">
      <c r="A79" s="5"/>
      <c r="B79" s="15"/>
      <c r="C79" s="15"/>
      <c r="D79" s="15"/>
      <c r="E79" s="15"/>
      <c r="F79" s="16"/>
    </row>
    <row r="80" customFormat="false" ht="15" hidden="false" customHeight="true" outlineLevel="0" collapsed="false">
      <c r="A80" s="17" t="s">
        <v>93</v>
      </c>
      <c r="B80" s="17"/>
      <c r="C80" s="17"/>
      <c r="D80" s="17"/>
      <c r="E80" s="17"/>
      <c r="F80" s="17"/>
    </row>
    <row r="81" customFormat="false" ht="15" hidden="false" customHeight="false" outlineLevel="0" collapsed="false">
      <c r="A81" s="5" t="n">
        <v>1</v>
      </c>
      <c r="B81" s="0" t="n">
        <v>100142</v>
      </c>
      <c r="C81" s="0" t="s">
        <v>9</v>
      </c>
      <c r="D81" s="15" t="s">
        <v>85</v>
      </c>
      <c r="E81" s="6" t="n">
        <v>114.68</v>
      </c>
      <c r="F81" s="7" t="n">
        <f aca="false">A81*E81</f>
        <v>114.68</v>
      </c>
    </row>
    <row r="82" customFormat="false" ht="15" hidden="false" customHeight="false" outlineLevel="0" collapsed="false">
      <c r="A82" s="5" t="n">
        <v>2</v>
      </c>
      <c r="B82" s="0" t="n">
        <v>100239</v>
      </c>
      <c r="C82" s="0" t="s">
        <v>13</v>
      </c>
      <c r="D82" s="15" t="s">
        <v>94</v>
      </c>
      <c r="E82" s="6" t="n">
        <v>78.86</v>
      </c>
      <c r="F82" s="7" t="n">
        <f aca="false">A82*E82</f>
        <v>157.72</v>
      </c>
    </row>
    <row r="83" customFormat="false" ht="15" hidden="false" customHeight="false" outlineLevel="0" collapsed="false">
      <c r="A83" s="5" t="n">
        <v>1</v>
      </c>
      <c r="B83" s="0" t="n">
        <v>100284</v>
      </c>
      <c r="C83" s="0" t="s">
        <v>15</v>
      </c>
      <c r="D83" s="15" t="s">
        <v>95</v>
      </c>
      <c r="E83" s="6" t="n">
        <v>198.7</v>
      </c>
      <c r="F83" s="7" t="n">
        <f aca="false">A83*E83</f>
        <v>198.7</v>
      </c>
    </row>
    <row r="84" customFormat="false" ht="15" hidden="false" customHeight="false" outlineLevel="0" collapsed="false">
      <c r="A84" s="5" t="n">
        <v>3</v>
      </c>
      <c r="B84" s="0" t="n">
        <v>100308</v>
      </c>
      <c r="C84" s="0" t="s">
        <v>17</v>
      </c>
      <c r="D84" s="15" t="s">
        <v>96</v>
      </c>
      <c r="E84" s="6" t="n">
        <v>303.34</v>
      </c>
      <c r="F84" s="7" t="n">
        <f aca="false">A84*E84</f>
        <v>910.02</v>
      </c>
    </row>
    <row r="85" customFormat="false" ht="15" hidden="false" customHeight="false" outlineLevel="0" collapsed="false">
      <c r="A85" s="5" t="n">
        <v>11</v>
      </c>
      <c r="B85" s="0" t="n">
        <v>100330</v>
      </c>
      <c r="C85" s="0" t="s">
        <v>21</v>
      </c>
      <c r="D85" s="15" t="s">
        <v>84</v>
      </c>
      <c r="E85" s="6" t="n">
        <v>85.27</v>
      </c>
      <c r="F85" s="7" t="n">
        <f aca="false">A85*E85</f>
        <v>937.97</v>
      </c>
    </row>
    <row r="86" customFormat="false" ht="15" hidden="false" customHeight="false" outlineLevel="0" collapsed="false">
      <c r="A86" s="5" t="n">
        <v>1</v>
      </c>
      <c r="B86" s="0" t="n">
        <v>100341</v>
      </c>
      <c r="C86" s="0" t="s">
        <v>22</v>
      </c>
      <c r="D86" s="15"/>
      <c r="E86" s="6" t="n">
        <v>150</v>
      </c>
      <c r="F86" s="7" t="n">
        <f aca="false">A86*E86</f>
        <v>150</v>
      </c>
    </row>
    <row r="87" customFormat="false" ht="15" hidden="false" customHeight="false" outlineLevel="0" collapsed="false">
      <c r="A87" s="5" t="n">
        <v>1</v>
      </c>
      <c r="B87" s="0" t="n">
        <v>100422</v>
      </c>
      <c r="C87" s="0" t="s">
        <v>26</v>
      </c>
      <c r="D87" s="15" t="s">
        <v>85</v>
      </c>
      <c r="E87" s="6" t="n">
        <v>98.07</v>
      </c>
      <c r="F87" s="7" t="n">
        <f aca="false">A87*E87</f>
        <v>98.07</v>
      </c>
    </row>
    <row r="88" customFormat="false" ht="15" hidden="false" customHeight="false" outlineLevel="0" collapsed="false">
      <c r="A88" s="5" t="n">
        <v>1</v>
      </c>
      <c r="B88" s="0" t="n">
        <v>100602</v>
      </c>
      <c r="C88" s="0" t="s">
        <v>39</v>
      </c>
      <c r="D88" s="15"/>
      <c r="E88" s="6" t="n">
        <v>84.74</v>
      </c>
      <c r="F88" s="7" t="n">
        <f aca="false">A88*E88</f>
        <v>84.74</v>
      </c>
      <c r="G88" s="6" t="n">
        <f aca="false">SUM(F81:F88)</f>
        <v>2651.9</v>
      </c>
      <c r="H88" s="18" t="n">
        <f aca="false">G88/SUM(G5:G1000)</f>
        <v>0.111633706399858</v>
      </c>
    </row>
    <row r="89" customFormat="false" ht="15" hidden="false" customHeight="false" outlineLevel="0" collapsed="false">
      <c r="A89" s="5"/>
      <c r="B89" s="15"/>
      <c r="C89" s="15"/>
      <c r="D89" s="15"/>
      <c r="E89" s="15"/>
      <c r="F89" s="16"/>
    </row>
    <row r="90" customFormat="false" ht="15" hidden="false" customHeight="true" outlineLevel="0" collapsed="false">
      <c r="A90" s="17" t="s">
        <v>97</v>
      </c>
      <c r="B90" s="17"/>
      <c r="C90" s="17"/>
      <c r="D90" s="17"/>
      <c r="E90" s="17"/>
      <c r="F90" s="17"/>
    </row>
    <row r="91" customFormat="false" ht="15" hidden="false" customHeight="false" outlineLevel="0" collapsed="false">
      <c r="A91" s="5" t="n">
        <v>1</v>
      </c>
      <c r="C91" s="0" t="s">
        <v>66</v>
      </c>
      <c r="D91" s="15"/>
      <c r="F91" s="16"/>
    </row>
    <row r="92" customFormat="false" ht="15" hidden="false" customHeight="false" outlineLevel="0" collapsed="false">
      <c r="A92" s="5" t="n">
        <v>1</v>
      </c>
      <c r="B92" s="0" t="n">
        <v>100142</v>
      </c>
      <c r="C92" s="0" t="s">
        <v>9</v>
      </c>
      <c r="D92" s="15" t="s">
        <v>85</v>
      </c>
      <c r="E92" s="6" t="n">
        <v>114.68</v>
      </c>
      <c r="F92" s="7" t="n">
        <f aca="false">A92*E92</f>
        <v>114.68</v>
      </c>
    </row>
    <row r="93" customFormat="false" ht="15" hidden="false" customHeight="false" outlineLevel="0" collapsed="false">
      <c r="A93" s="5" t="n">
        <v>1</v>
      </c>
      <c r="B93" s="0" t="n">
        <v>100325</v>
      </c>
      <c r="C93" s="0" t="s">
        <v>19</v>
      </c>
      <c r="D93" s="15" t="s">
        <v>98</v>
      </c>
      <c r="E93" s="6" t="n">
        <v>78.86</v>
      </c>
      <c r="F93" s="7" t="n">
        <f aca="false">A93*E93</f>
        <v>78.86</v>
      </c>
    </row>
    <row r="94" customFormat="false" ht="15" hidden="false" customHeight="false" outlineLevel="0" collapsed="false">
      <c r="A94" s="5" t="n">
        <v>4</v>
      </c>
      <c r="B94" s="0" t="n">
        <v>100330</v>
      </c>
      <c r="C94" s="0" t="s">
        <v>21</v>
      </c>
      <c r="D94" s="15" t="s">
        <v>84</v>
      </c>
      <c r="E94" s="6" t="n">
        <v>85.27</v>
      </c>
      <c r="F94" s="7" t="n">
        <f aca="false">A94*E94</f>
        <v>341.08</v>
      </c>
    </row>
    <row r="95" customFormat="false" ht="15" hidden="false" customHeight="false" outlineLevel="0" collapsed="false">
      <c r="A95" s="5" t="n">
        <v>2</v>
      </c>
      <c r="B95" s="0" t="n">
        <v>100395</v>
      </c>
      <c r="C95" s="0" t="s">
        <v>23</v>
      </c>
      <c r="D95" s="15"/>
      <c r="E95" s="6" t="n">
        <v>96.29</v>
      </c>
      <c r="F95" s="7" t="n">
        <f aca="false">A95*E95</f>
        <v>192.58</v>
      </c>
    </row>
    <row r="96" customFormat="false" ht="15" hidden="false" customHeight="false" outlineLevel="0" collapsed="false">
      <c r="A96" s="5" t="n">
        <v>2</v>
      </c>
      <c r="B96" s="0" t="n">
        <v>100420</v>
      </c>
      <c r="C96" s="0" t="s">
        <v>25</v>
      </c>
      <c r="D96" s="15" t="s">
        <v>99</v>
      </c>
      <c r="E96" s="6" t="n">
        <v>109.6</v>
      </c>
      <c r="F96" s="7" t="n">
        <f aca="false">A96*E96</f>
        <v>219.2</v>
      </c>
    </row>
    <row r="97" customFormat="false" ht="15" hidden="false" customHeight="false" outlineLevel="0" collapsed="false">
      <c r="A97" s="5" t="n">
        <v>1</v>
      </c>
      <c r="B97" s="0" t="n">
        <v>100422</v>
      </c>
      <c r="C97" s="0" t="s">
        <v>26</v>
      </c>
      <c r="D97" s="15" t="s">
        <v>85</v>
      </c>
      <c r="E97" s="6" t="n">
        <v>98.07</v>
      </c>
      <c r="F97" s="7" t="n">
        <f aca="false">A97*E97</f>
        <v>98.07</v>
      </c>
    </row>
    <row r="98" customFormat="false" ht="15" hidden="false" customHeight="false" outlineLevel="0" collapsed="false">
      <c r="A98" s="5" t="n">
        <v>1</v>
      </c>
      <c r="B98" s="0" t="n">
        <v>100461</v>
      </c>
      <c r="C98" s="0" t="s">
        <v>27</v>
      </c>
      <c r="D98" s="15" t="s">
        <v>86</v>
      </c>
      <c r="E98" s="6" t="n">
        <v>192.76</v>
      </c>
      <c r="F98" s="7" t="n">
        <f aca="false">A98*E98</f>
        <v>192.76</v>
      </c>
    </row>
    <row r="99" customFormat="false" ht="15" hidden="false" customHeight="false" outlineLevel="0" collapsed="false">
      <c r="A99" s="5" t="n">
        <v>2</v>
      </c>
      <c r="B99" s="0" t="n">
        <v>100476</v>
      </c>
      <c r="C99" s="0" t="s">
        <v>31</v>
      </c>
      <c r="D99" s="15" t="s">
        <v>100</v>
      </c>
      <c r="E99" s="6" t="n">
        <v>239.52</v>
      </c>
      <c r="F99" s="7" t="n">
        <f aca="false">A99*E99</f>
        <v>479.04</v>
      </c>
    </row>
    <row r="100" customFormat="false" ht="15" hidden="false" customHeight="false" outlineLevel="0" collapsed="false">
      <c r="A100" s="5" t="n">
        <v>1</v>
      </c>
      <c r="B100" s="0" t="n">
        <v>100602</v>
      </c>
      <c r="C100" s="0" t="s">
        <v>39</v>
      </c>
      <c r="D100" s="15"/>
      <c r="E100" s="6" t="n">
        <v>84.74</v>
      </c>
      <c r="F100" s="7" t="n">
        <f aca="false">A100*E100</f>
        <v>84.74</v>
      </c>
    </row>
    <row r="101" customFormat="false" ht="15" hidden="false" customHeight="false" outlineLevel="0" collapsed="false">
      <c r="A101" s="5" t="n">
        <v>1</v>
      </c>
      <c r="B101" s="0" t="n">
        <v>610149</v>
      </c>
      <c r="C101" s="0" t="s">
        <v>43</v>
      </c>
      <c r="D101" s="15"/>
      <c r="E101" s="6" t="n">
        <v>299</v>
      </c>
      <c r="F101" s="7" t="n">
        <f aca="false">A101*E101</f>
        <v>299</v>
      </c>
    </row>
    <row r="102" customFormat="false" ht="15" hidden="false" customHeight="false" outlineLevel="0" collapsed="false">
      <c r="A102" s="5" t="n">
        <v>1</v>
      </c>
      <c r="B102" s="0" t="n">
        <v>610151</v>
      </c>
      <c r="C102" s="0" t="s">
        <v>44</v>
      </c>
      <c r="D102" s="15"/>
      <c r="E102" s="6" t="n">
        <v>249</v>
      </c>
      <c r="F102" s="7" t="n">
        <f aca="false">A102*E102</f>
        <v>249</v>
      </c>
      <c r="G102" s="6" t="n">
        <f aca="false">SUM(F91:F102)</f>
        <v>2349.01</v>
      </c>
      <c r="H102" s="18" t="n">
        <f aca="false">G102/SUM(G5:G1000)</f>
        <v>0.0988833261700407</v>
      </c>
    </row>
    <row r="103" customFormat="false" ht="15" hidden="false" customHeight="false" outlineLevel="0" collapsed="false">
      <c r="A103" s="5"/>
      <c r="B103" s="15"/>
      <c r="C103" s="15"/>
      <c r="D103" s="15"/>
      <c r="E103" s="15"/>
      <c r="F103" s="16"/>
    </row>
    <row r="104" customFormat="false" ht="15" hidden="false" customHeight="true" outlineLevel="0" collapsed="false">
      <c r="A104" s="17" t="s">
        <v>101</v>
      </c>
      <c r="B104" s="17"/>
      <c r="C104" s="17"/>
      <c r="D104" s="17"/>
      <c r="E104" s="17"/>
      <c r="F104" s="17"/>
    </row>
    <row r="105" customFormat="false" ht="15" hidden="false" customHeight="false" outlineLevel="0" collapsed="false">
      <c r="A105" s="5" t="n">
        <v>2</v>
      </c>
      <c r="B105" s="0" t="n">
        <v>100330</v>
      </c>
      <c r="C105" s="0" t="s">
        <v>21</v>
      </c>
      <c r="D105" s="15"/>
      <c r="E105" s="6" t="n">
        <v>85.27</v>
      </c>
      <c r="F105" s="7" t="n">
        <f aca="false">A105*E105</f>
        <v>170.54</v>
      </c>
    </row>
    <row r="106" customFormat="false" ht="15" hidden="false" customHeight="false" outlineLevel="0" collapsed="false">
      <c r="A106" s="5" t="n">
        <v>1</v>
      </c>
      <c r="B106" s="0" t="n">
        <v>100466</v>
      </c>
      <c r="C106" s="0" t="s">
        <v>28</v>
      </c>
      <c r="D106" s="15"/>
      <c r="E106" s="6" t="n">
        <v>108.32</v>
      </c>
      <c r="F106" s="7" t="n">
        <f aca="false">A106*E106</f>
        <v>108.32</v>
      </c>
      <c r="G106" s="6" t="n">
        <f aca="false">SUM(F105:F106)</f>
        <v>278.86</v>
      </c>
      <c r="H106" s="18" t="n">
        <f aca="false">G106/SUM(G5:G1000)</f>
        <v>0.0117388194753439</v>
      </c>
    </row>
    <row r="107" customFormat="false" ht="15" hidden="false" customHeight="false" outlineLevel="0" collapsed="false">
      <c r="A107" s="5"/>
      <c r="B107" s="15"/>
      <c r="C107" s="15"/>
      <c r="D107" s="15"/>
      <c r="E107" s="15"/>
      <c r="F107" s="16"/>
    </row>
    <row r="108" customFormat="false" ht="15" hidden="false" customHeight="true" outlineLevel="0" collapsed="false">
      <c r="A108" s="17" t="s">
        <v>102</v>
      </c>
      <c r="B108" s="17"/>
      <c r="C108" s="17"/>
      <c r="D108" s="17"/>
      <c r="E108" s="17"/>
      <c r="F108" s="17"/>
    </row>
    <row r="109" customFormat="false" ht="15" hidden="false" customHeight="false" outlineLevel="0" collapsed="false">
      <c r="A109" s="5" t="n">
        <v>1</v>
      </c>
      <c r="B109" s="0" t="n">
        <v>100142</v>
      </c>
      <c r="C109" s="0" t="s">
        <v>9</v>
      </c>
      <c r="D109" s="15" t="s">
        <v>85</v>
      </c>
      <c r="E109" s="6" t="n">
        <v>114.68</v>
      </c>
      <c r="F109" s="7" t="n">
        <f aca="false">A109*E109</f>
        <v>114.68</v>
      </c>
    </row>
    <row r="110" customFormat="false" ht="15" hidden="false" customHeight="false" outlineLevel="0" collapsed="false">
      <c r="A110" s="5" t="n">
        <v>3</v>
      </c>
      <c r="B110" s="0" t="n">
        <v>100327</v>
      </c>
      <c r="C110" s="0" t="s">
        <v>20</v>
      </c>
      <c r="D110" s="15"/>
      <c r="E110" s="6" t="n">
        <v>46.91</v>
      </c>
      <c r="F110" s="7" t="n">
        <f aca="false">A110*E110</f>
        <v>140.73</v>
      </c>
    </row>
    <row r="111" customFormat="false" ht="15" hidden="false" customHeight="false" outlineLevel="0" collapsed="false">
      <c r="A111" s="5" t="n">
        <v>1</v>
      </c>
      <c r="B111" s="0" t="n">
        <v>100422</v>
      </c>
      <c r="C111" s="0" t="s">
        <v>26</v>
      </c>
      <c r="D111" s="15"/>
      <c r="E111" s="6" t="n">
        <v>98.07</v>
      </c>
      <c r="F111" s="7" t="n">
        <f aca="false">A111*E111</f>
        <v>98.07</v>
      </c>
    </row>
    <row r="112" customFormat="false" ht="15" hidden="false" customHeight="false" outlineLevel="0" collapsed="false">
      <c r="A112" s="5" t="n">
        <v>1</v>
      </c>
      <c r="B112" s="0" t="n">
        <v>100461</v>
      </c>
      <c r="C112" s="0" t="s">
        <v>27</v>
      </c>
      <c r="D112" s="15" t="s">
        <v>86</v>
      </c>
      <c r="E112" s="6" t="n">
        <v>192.76</v>
      </c>
      <c r="F112" s="7" t="n">
        <f aca="false">A112*E112</f>
        <v>192.76</v>
      </c>
    </row>
    <row r="113" customFormat="false" ht="15" hidden="false" customHeight="false" outlineLevel="0" collapsed="false">
      <c r="A113" s="5" t="n">
        <v>1</v>
      </c>
      <c r="B113" s="0" t="n">
        <v>100602</v>
      </c>
      <c r="C113" s="0" t="s">
        <v>39</v>
      </c>
      <c r="D113" s="15"/>
      <c r="E113" s="6" t="n">
        <v>84.74</v>
      </c>
      <c r="F113" s="7" t="n">
        <f aca="false">A113*E113</f>
        <v>84.74</v>
      </c>
      <c r="G113" s="6" t="n">
        <f aca="false">SUM(F109:F113)</f>
        <v>630.98</v>
      </c>
      <c r="H113" s="18" t="n">
        <f aca="false">G113/SUM(G5:G1000)</f>
        <v>0.026561573235862</v>
      </c>
    </row>
    <row r="114" customFormat="false" ht="15" hidden="false" customHeight="false" outlineLevel="0" collapsed="false">
      <c r="A114" s="5"/>
      <c r="B114" s="15"/>
      <c r="C114" s="15"/>
      <c r="D114" s="15"/>
      <c r="E114" s="15"/>
      <c r="F114" s="16"/>
    </row>
    <row r="115" customFormat="false" ht="15" hidden="false" customHeight="true" outlineLevel="0" collapsed="false">
      <c r="A115" s="17" t="s">
        <v>103</v>
      </c>
      <c r="B115" s="17"/>
      <c r="C115" s="17"/>
      <c r="D115" s="17"/>
      <c r="E115" s="17"/>
      <c r="F115" s="17"/>
    </row>
    <row r="116" customFormat="false" ht="15" hidden="false" customHeight="false" outlineLevel="0" collapsed="false">
      <c r="A116" s="5" t="n">
        <v>1</v>
      </c>
      <c r="B116" s="0" t="n">
        <v>100288</v>
      </c>
      <c r="C116" s="0" t="s">
        <v>16</v>
      </c>
      <c r="D116" s="15"/>
      <c r="E116" s="6" t="n">
        <v>303.34</v>
      </c>
      <c r="F116" s="7" t="n">
        <f aca="false">A116*E116</f>
        <v>303.34</v>
      </c>
    </row>
    <row r="117" customFormat="false" ht="15" hidden="false" customHeight="false" outlineLevel="0" collapsed="false">
      <c r="A117" s="5" t="n">
        <v>1</v>
      </c>
      <c r="B117" s="0" t="n">
        <v>100461</v>
      </c>
      <c r="C117" s="0" t="s">
        <v>27</v>
      </c>
      <c r="D117" s="15" t="s">
        <v>86</v>
      </c>
      <c r="E117" s="6" t="n">
        <v>192.76</v>
      </c>
      <c r="F117" s="7" t="n">
        <f aca="false">A117*E117</f>
        <v>192.76</v>
      </c>
      <c r="G117" s="6" t="n">
        <f aca="false">SUM(F116:F117)</f>
        <v>496.1</v>
      </c>
      <c r="H117" s="18" t="n">
        <f aca="false">G117/SUM(G5:G1000)</f>
        <v>0.0208836991383422</v>
      </c>
    </row>
    <row r="118" customFormat="false" ht="15" hidden="false" customHeight="false" outlineLevel="0" collapsed="false">
      <c r="A118" s="5"/>
      <c r="B118" s="15"/>
      <c r="C118" s="15"/>
      <c r="D118" s="15"/>
      <c r="E118" s="15"/>
      <c r="F118" s="16"/>
    </row>
    <row r="119" customFormat="false" ht="15" hidden="false" customHeight="true" outlineLevel="0" collapsed="false">
      <c r="A119" s="17" t="s">
        <v>104</v>
      </c>
      <c r="B119" s="17"/>
      <c r="C119" s="17"/>
      <c r="D119" s="17"/>
      <c r="E119" s="17"/>
      <c r="F119" s="17"/>
    </row>
    <row r="120" customFormat="false" ht="15" hidden="false" customHeight="false" outlineLevel="0" collapsed="false">
      <c r="A120" s="5" t="n">
        <v>1</v>
      </c>
      <c r="B120" s="0" t="n">
        <v>100288</v>
      </c>
      <c r="C120" s="0" t="s">
        <v>16</v>
      </c>
      <c r="D120" s="15"/>
      <c r="E120" s="6" t="n">
        <v>303.34</v>
      </c>
      <c r="F120" s="7" t="n">
        <f aca="false">A120*E120</f>
        <v>303.34</v>
      </c>
    </row>
    <row r="121" customFormat="false" ht="15" hidden="false" customHeight="false" outlineLevel="0" collapsed="false">
      <c r="A121" s="5" t="n">
        <v>1</v>
      </c>
      <c r="B121" s="0" t="n">
        <v>100602</v>
      </c>
      <c r="C121" s="0" t="s">
        <v>39</v>
      </c>
      <c r="D121" s="15"/>
      <c r="E121" s="6" t="n">
        <v>84.74</v>
      </c>
      <c r="F121" s="7" t="n">
        <f aca="false">A121*E121</f>
        <v>84.74</v>
      </c>
      <c r="G121" s="6" t="n">
        <f aca="false">SUM(F120:F121)</f>
        <v>388.08</v>
      </c>
      <c r="H121" s="18" t="n">
        <f aca="false">G121/SUM(G5:G1000)</f>
        <v>0.0163365167538961</v>
      </c>
    </row>
    <row r="122" customFormat="false" ht="15" hidden="false" customHeight="false" outlineLevel="0" collapsed="false">
      <c r="A122" s="5"/>
      <c r="B122" s="15"/>
      <c r="C122" s="15"/>
      <c r="D122" s="15"/>
      <c r="E122" s="15"/>
      <c r="F122" s="16"/>
    </row>
    <row r="123" customFormat="false" ht="15" hidden="false" customHeight="true" outlineLevel="0" collapsed="false">
      <c r="A123" s="17" t="s">
        <v>105</v>
      </c>
      <c r="B123" s="17"/>
      <c r="C123" s="17"/>
      <c r="D123" s="17"/>
      <c r="E123" s="17"/>
      <c r="F123" s="17"/>
    </row>
    <row r="124" customFormat="false" ht="15" hidden="false" customHeight="false" outlineLevel="0" collapsed="false">
      <c r="A124" s="5" t="n">
        <v>1</v>
      </c>
      <c r="C124" s="0" t="s">
        <v>69</v>
      </c>
      <c r="D124" s="15"/>
      <c r="F124" s="16"/>
    </row>
    <row r="125" customFormat="false" ht="15" hidden="false" customHeight="false" outlineLevel="0" collapsed="false">
      <c r="A125" s="5" t="n">
        <v>1</v>
      </c>
      <c r="B125" s="0" t="n">
        <v>100202</v>
      </c>
      <c r="C125" s="0" t="s">
        <v>10</v>
      </c>
      <c r="D125" s="15"/>
      <c r="E125" s="6" t="n">
        <v>382.88</v>
      </c>
      <c r="F125" s="7" t="n">
        <f aca="false">A125*E125</f>
        <v>382.88</v>
      </c>
    </row>
    <row r="126" customFormat="false" ht="15" hidden="false" customHeight="false" outlineLevel="0" collapsed="false">
      <c r="A126" s="5" t="n">
        <v>1</v>
      </c>
      <c r="B126" s="0" t="n">
        <v>100582</v>
      </c>
      <c r="C126" s="0" t="s">
        <v>38</v>
      </c>
      <c r="D126" s="15"/>
      <c r="E126" s="6" t="n">
        <v>290</v>
      </c>
      <c r="F126" s="7" t="n">
        <f aca="false">A126*E126</f>
        <v>290</v>
      </c>
    </row>
    <row r="127" customFormat="false" ht="15" hidden="false" customHeight="false" outlineLevel="0" collapsed="false">
      <c r="A127" s="5" t="n">
        <v>2</v>
      </c>
      <c r="B127" s="0" t="n">
        <v>100637</v>
      </c>
      <c r="C127" s="0" t="s">
        <v>41</v>
      </c>
      <c r="D127" s="15"/>
      <c r="E127" s="6" t="n">
        <v>369</v>
      </c>
      <c r="F127" s="7" t="n">
        <f aca="false">A127*E127</f>
        <v>738</v>
      </c>
      <c r="G127" s="6" t="n">
        <f aca="false">SUM(F124:F127)</f>
        <v>1410.88</v>
      </c>
      <c r="H127" s="18" t="n">
        <f aca="false">G127/SUM(G5:G1000)</f>
        <v>0.0593920448302847</v>
      </c>
    </row>
    <row r="128" customFormat="false" ht="15" hidden="false" customHeight="false" outlineLevel="0" collapsed="false">
      <c r="A128" s="8"/>
      <c r="B128" s="9"/>
      <c r="C128" s="9"/>
      <c r="D128" s="9"/>
      <c r="E128" s="9"/>
      <c r="F128" s="10"/>
    </row>
    <row r="130" customFormat="false" ht="15" hidden="false" customHeight="false" outlineLevel="0" collapsed="false">
      <c r="C130" s="0" t="s">
        <v>48</v>
      </c>
      <c r="F130" s="6" t="n">
        <f aca="false">SUM(F2:F127)</f>
        <v>23755.37</v>
      </c>
    </row>
    <row r="131" customFormat="false" ht="15" hidden="false" customHeight="false" outlineLevel="0" collapsed="false">
      <c r="C131" s="0" t="s">
        <v>49</v>
      </c>
      <c r="E131" s="11" t="n">
        <v>0.19</v>
      </c>
      <c r="F131" s="6" t="n">
        <f aca="false">E131*F130</f>
        <v>4513.5203</v>
      </c>
    </row>
    <row r="132" customFormat="false" ht="24.75" hidden="false" customHeight="true" outlineLevel="0" collapsed="false">
      <c r="A132" s="12"/>
      <c r="B132" s="12"/>
      <c r="C132" s="12" t="s">
        <v>50</v>
      </c>
      <c r="D132" s="12"/>
      <c r="E132" s="12"/>
      <c r="F132" s="13" t="n">
        <f aca="false">SUM(F130:F131)</f>
        <v>28268.8903</v>
      </c>
      <c r="G132" s="12"/>
      <c r="H132" s="12"/>
    </row>
    <row r="133" customFormat="false" ht="15" hidden="false" customHeight="false" outlineLevel="0" collapsed="false">
      <c r="A133" s="14" t="s">
        <v>51</v>
      </c>
    </row>
  </sheetData>
  <mergeCells count="15">
    <mergeCell ref="A1:H1"/>
    <mergeCell ref="A11:F11"/>
    <mergeCell ref="A19:F19"/>
    <mergeCell ref="A33:F33"/>
    <mergeCell ref="A42:F42"/>
    <mergeCell ref="A51:F51"/>
    <mergeCell ref="A59:F59"/>
    <mergeCell ref="A74:F74"/>
    <mergeCell ref="A80:F80"/>
    <mergeCell ref="A90:F90"/>
    <mergeCell ref="A104:F104"/>
    <mergeCell ref="A108:F108"/>
    <mergeCell ref="A115:F115"/>
    <mergeCell ref="A119:F119"/>
    <mergeCell ref="A123:F1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2" min="2" style="0" width="30"/>
    <col collapsed="false" customWidth="true" hidden="false" outlineLevel="0" max="5" min="3" style="0" width="14"/>
  </cols>
  <sheetData>
    <row r="1" customFormat="false" ht="16.15" hidden="false" customHeight="false" outlineLevel="0" collapsed="false">
      <c r="A1" s="19" t="s">
        <v>106</v>
      </c>
      <c r="B1" s="19"/>
      <c r="C1" s="19"/>
      <c r="D1" s="19"/>
      <c r="E1" s="19"/>
      <c r="F1" s="19"/>
    </row>
    <row r="3" customFormat="false" ht="15" hidden="false" customHeight="false" outlineLevel="0" collapsed="false">
      <c r="B3" s="3" t="s">
        <v>107</v>
      </c>
      <c r="C3" s="3" t="s">
        <v>108</v>
      </c>
      <c r="D3" s="3" t="s">
        <v>109</v>
      </c>
      <c r="E3" s="3" t="s">
        <v>110</v>
      </c>
    </row>
    <row r="4" customFormat="false" ht="15" hidden="false" customHeight="false" outlineLevel="0" collapsed="false">
      <c r="B4" s="15" t="s">
        <v>111</v>
      </c>
      <c r="C4" s="0" t="n">
        <v>300</v>
      </c>
      <c r="D4" s="0" t="n">
        <v>116</v>
      </c>
      <c r="E4" s="0" t="n">
        <f aca="false">C4-D4</f>
        <v>184</v>
      </c>
    </row>
    <row r="5" customFormat="false" ht="15" hidden="false" customHeight="false" outlineLevel="0" collapsed="false">
      <c r="B5" s="15" t="s">
        <v>112</v>
      </c>
      <c r="C5" s="0" t="n">
        <v>128</v>
      </c>
      <c r="D5" s="0" t="n">
        <v>20</v>
      </c>
      <c r="E5" s="0" t="n">
        <f aca="false">C5-D5</f>
        <v>108</v>
      </c>
    </row>
    <row r="6" customFormat="false" ht="15" hidden="false" customHeight="false" outlineLevel="0" collapsed="false">
      <c r="B6" s="15" t="s">
        <v>113</v>
      </c>
      <c r="C6" s="0" t="n">
        <v>0</v>
      </c>
      <c r="D6" s="0" t="n">
        <v>0</v>
      </c>
      <c r="E6" s="0" t="n">
        <f aca="false">C6-D6</f>
        <v>0</v>
      </c>
    </row>
    <row r="7" customFormat="false" ht="15" hidden="false" customHeight="false" outlineLevel="0" collapsed="false">
      <c r="B7" s="15" t="s">
        <v>114</v>
      </c>
      <c r="C7" s="0" t="n">
        <v>4</v>
      </c>
      <c r="D7" s="0" t="n">
        <v>2</v>
      </c>
      <c r="E7" s="0" t="n">
        <f aca="false">C7-D7</f>
        <v>2</v>
      </c>
    </row>
    <row r="8" customFormat="false" ht="15" hidden="false" customHeight="false" outlineLevel="0" collapsed="false">
      <c r="B8" s="15" t="s">
        <v>115</v>
      </c>
      <c r="C8" s="0" t="n">
        <v>0</v>
      </c>
      <c r="D8" s="0" t="n">
        <v>0</v>
      </c>
      <c r="E8" s="0" t="n">
        <f aca="false">C8-D8</f>
        <v>0</v>
      </c>
    </row>
    <row r="9" customFormat="false" ht="15" hidden="false" customHeight="false" outlineLevel="0" collapsed="false">
      <c r="B9" s="15" t="s">
        <v>116</v>
      </c>
      <c r="C9" s="0" t="n">
        <v>4</v>
      </c>
      <c r="D9" s="0" t="n">
        <v>0</v>
      </c>
      <c r="E9" s="0" t="n">
        <f aca="false">C9-D9</f>
        <v>4</v>
      </c>
    </row>
    <row r="10" customFormat="false" ht="15" hidden="false" customHeight="false" outlineLevel="0" collapsed="false">
      <c r="B10" s="15" t="s">
        <v>117</v>
      </c>
      <c r="C10" s="0" t="n">
        <v>16</v>
      </c>
      <c r="D10" s="0" t="n">
        <v>6</v>
      </c>
      <c r="E10" s="0" t="n">
        <f aca="false">C10-D10</f>
        <v>10</v>
      </c>
    </row>
    <row r="11" customFormat="false" ht="15" hidden="false" customHeight="false" outlineLevel="0" collapsed="false">
      <c r="B11" s="15" t="s">
        <v>118</v>
      </c>
      <c r="C11" s="0" t="n">
        <v>0</v>
      </c>
      <c r="D11" s="0" t="n">
        <v>0</v>
      </c>
      <c r="E11" s="0" t="n">
        <f aca="false">C11-D11</f>
        <v>0</v>
      </c>
    </row>
    <row r="12" customFormat="false" ht="15" hidden="false" customHeight="false" outlineLevel="0" collapsed="false">
      <c r="B12" s="15" t="s">
        <v>119</v>
      </c>
      <c r="C12" s="0" t="n">
        <v>0</v>
      </c>
      <c r="D12" s="0" t="n">
        <v>0</v>
      </c>
      <c r="E12" s="0" t="n">
        <f aca="false">C12-D12</f>
        <v>0</v>
      </c>
    </row>
    <row r="13" customFormat="false" ht="15" hidden="false" customHeight="false" outlineLevel="0" collapsed="false">
      <c r="B13" s="15" t="s">
        <v>120</v>
      </c>
      <c r="C13" s="0" t="n">
        <v>4</v>
      </c>
      <c r="D13" s="0" t="n">
        <v>0</v>
      </c>
      <c r="E13" s="0" t="n">
        <f aca="false">C13-D13</f>
        <v>4</v>
      </c>
    </row>
    <row r="17" customFormat="false" ht="16.15" hidden="false" customHeight="false" outlineLevel="0" collapsed="false">
      <c r="A17" s="19" t="s">
        <v>121</v>
      </c>
      <c r="B17" s="19"/>
      <c r="C17" s="19"/>
      <c r="D17" s="19"/>
      <c r="E17" s="19"/>
      <c r="F17" s="19"/>
    </row>
    <row r="19" customFormat="false" ht="24.05" hidden="false" customHeight="false" outlineLevel="0" collapsed="false">
      <c r="B19" s="3" t="s">
        <v>122</v>
      </c>
      <c r="C19" s="3" t="s">
        <v>1</v>
      </c>
      <c r="D19" s="3" t="s">
        <v>123</v>
      </c>
      <c r="E19" s="3" t="s">
        <v>124</v>
      </c>
    </row>
    <row r="20" customFormat="false" ht="15" hidden="false" customHeight="false" outlineLevel="0" collapsed="false">
      <c r="B20" s="15" t="s">
        <v>125</v>
      </c>
      <c r="C20" s="0" t="n">
        <v>1</v>
      </c>
      <c r="D20" s="0" t="n">
        <v>155</v>
      </c>
      <c r="E20" s="0" t="n">
        <f aca="false">C20*D20</f>
        <v>155</v>
      </c>
    </row>
    <row r="21" customFormat="false" ht="15" hidden="false" customHeight="false" outlineLevel="0" collapsed="false">
      <c r="B21" s="15" t="s">
        <v>126</v>
      </c>
      <c r="C21" s="0" t="n">
        <v>2</v>
      </c>
      <c r="D21" s="0" t="n">
        <v>34</v>
      </c>
      <c r="E21" s="0" t="n">
        <f aca="false">C21*D21</f>
        <v>68</v>
      </c>
    </row>
    <row r="22" customFormat="false" ht="15" hidden="false" customHeight="false" outlineLevel="0" collapsed="false">
      <c r="B22" s="15" t="s">
        <v>127</v>
      </c>
      <c r="C22" s="0" t="n">
        <v>4</v>
      </c>
      <c r="D22" s="0" t="n">
        <v>34</v>
      </c>
      <c r="E22" s="0" t="n">
        <f aca="false">C22*D22</f>
        <v>136</v>
      </c>
    </row>
    <row r="23" customFormat="false" ht="15" hidden="false" customHeight="false" outlineLevel="0" collapsed="false">
      <c r="B23" s="15" t="s">
        <v>128</v>
      </c>
      <c r="C23" s="0" t="n">
        <v>1</v>
      </c>
      <c r="D23" s="0" t="n">
        <v>320</v>
      </c>
      <c r="E23" s="0" t="n">
        <f aca="false">C23*D23</f>
        <v>320</v>
      </c>
    </row>
    <row r="24" customFormat="false" ht="15" hidden="false" customHeight="false" outlineLevel="0" collapsed="false">
      <c r="B24" s="15" t="s">
        <v>129</v>
      </c>
      <c r="C24" s="0" t="n">
        <v>1</v>
      </c>
      <c r="D24" s="0" t="n">
        <v>34</v>
      </c>
      <c r="E24" s="0" t="n">
        <f aca="false">C24*D24</f>
        <v>34</v>
      </c>
    </row>
    <row r="25" customFormat="false" ht="15" hidden="false" customHeight="false" outlineLevel="0" collapsed="false">
      <c r="B25" s="15" t="s">
        <v>130</v>
      </c>
      <c r="C25" s="0" t="n">
        <v>1</v>
      </c>
      <c r="D25" s="0" t="n">
        <v>106</v>
      </c>
      <c r="E25" s="0" t="n">
        <f aca="false">C25*D25</f>
        <v>106</v>
      </c>
    </row>
    <row r="27" customFormat="false" ht="15" hidden="false" customHeight="false" outlineLevel="0" collapsed="false">
      <c r="B27" s="0" t="s">
        <v>131</v>
      </c>
      <c r="E27" s="0" t="n">
        <f aca="false">SUM(E17:E26)</f>
        <v>819</v>
      </c>
    </row>
    <row r="28" customFormat="false" ht="15" hidden="false" customHeight="false" outlineLevel="0" collapsed="false">
      <c r="B28" s="0" t="s">
        <v>132</v>
      </c>
      <c r="E28" s="0" t="n">
        <f aca="false">ROUNDUP(E27/18,0)</f>
        <v>46</v>
      </c>
    </row>
  </sheetData>
  <mergeCells count="2">
    <mergeCell ref="A1:F1"/>
    <mergeCell ref="A17:F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7" min="4" style="0" width="17"/>
  </cols>
  <sheetData>
    <row r="1" customFormat="false" ht="39.75" hidden="false" customHeight="true" outlineLevel="0" collapsed="false">
      <c r="A1" s="1" t="s">
        <v>133</v>
      </c>
      <c r="B1" s="1"/>
      <c r="C1" s="1"/>
      <c r="D1" s="1"/>
      <c r="E1" s="1"/>
      <c r="F1" s="1"/>
      <c r="G1" s="1"/>
    </row>
    <row r="3" customFormat="false" ht="31.5" hidden="false" customHeight="true" outlineLevel="0" collapsed="false">
      <c r="A3" s="2" t="s">
        <v>1</v>
      </c>
      <c r="B3" s="3" t="s">
        <v>2</v>
      </c>
      <c r="C3" s="3" t="s">
        <v>3</v>
      </c>
      <c r="D3" s="3" t="s">
        <v>134</v>
      </c>
      <c r="E3" s="4" t="s">
        <v>5</v>
      </c>
      <c r="F3" s="12" t="s">
        <v>135</v>
      </c>
      <c r="G3" s="12" t="s">
        <v>136</v>
      </c>
    </row>
    <row r="4" customFormat="false" ht="15" hidden="false" customHeight="false" outlineLevel="0" collapsed="false">
      <c r="A4" s="5"/>
      <c r="B4" s="15"/>
      <c r="C4" s="15"/>
      <c r="D4" s="15"/>
      <c r="E4" s="16"/>
    </row>
    <row r="5" customFormat="false" ht="15" hidden="false" customHeight="true" outlineLevel="0" collapsed="false">
      <c r="A5" s="17" t="s">
        <v>137</v>
      </c>
      <c r="B5" s="17"/>
      <c r="C5" s="17"/>
      <c r="D5" s="17"/>
      <c r="E5" s="17"/>
    </row>
    <row r="6" customFormat="false" ht="15" hidden="false" customHeight="false" outlineLevel="0" collapsed="false">
      <c r="A6" s="5" t="n">
        <v>2</v>
      </c>
      <c r="B6" s="0" t="n">
        <v>100288</v>
      </c>
      <c r="C6" s="0" t="s">
        <v>16</v>
      </c>
      <c r="D6" s="20" t="n">
        <v>20.5</v>
      </c>
      <c r="E6" s="21" t="n">
        <f aca="false">A6*D6</f>
        <v>41</v>
      </c>
    </row>
    <row r="7" customFormat="false" ht="15" hidden="false" customHeight="false" outlineLevel="0" collapsed="false">
      <c r="A7" s="5" t="n">
        <v>5</v>
      </c>
      <c r="B7" s="0" t="n">
        <v>100308</v>
      </c>
      <c r="C7" s="0" t="s">
        <v>17</v>
      </c>
      <c r="D7" s="20" t="n">
        <v>12</v>
      </c>
      <c r="E7" s="21" t="n">
        <f aca="false">A7*D7</f>
        <v>60</v>
      </c>
    </row>
    <row r="8" customFormat="false" ht="15" hidden="false" customHeight="false" outlineLevel="0" collapsed="false">
      <c r="A8" s="5" t="n">
        <v>3</v>
      </c>
      <c r="B8" s="0" t="n">
        <v>100309</v>
      </c>
      <c r="C8" s="0" t="s">
        <v>18</v>
      </c>
      <c r="D8" s="20" t="n">
        <v>12</v>
      </c>
      <c r="E8" s="21" t="n">
        <f aca="false">A8*D8</f>
        <v>36</v>
      </c>
    </row>
    <row r="9" customFormat="false" ht="15" hidden="false" customHeight="false" outlineLevel="0" collapsed="false">
      <c r="A9" s="5" t="n">
        <v>3</v>
      </c>
      <c r="B9" s="0" t="n">
        <v>100327</v>
      </c>
      <c r="C9" s="0" t="s">
        <v>20</v>
      </c>
      <c r="D9" s="20" t="n">
        <v>7.5</v>
      </c>
      <c r="E9" s="21" t="n">
        <f aca="false">A9*D9</f>
        <v>22.5</v>
      </c>
    </row>
    <row r="10" customFormat="false" ht="15" hidden="false" customHeight="false" outlineLevel="0" collapsed="false">
      <c r="A10" s="5" t="n">
        <v>55</v>
      </c>
      <c r="B10" s="0" t="n">
        <v>100330</v>
      </c>
      <c r="C10" s="0" t="s">
        <v>21</v>
      </c>
      <c r="D10" s="20" t="n">
        <v>7.5</v>
      </c>
      <c r="E10" s="21" t="n">
        <f aca="false">A10*D10</f>
        <v>412.5</v>
      </c>
    </row>
    <row r="11" customFormat="false" ht="15" hidden="false" customHeight="false" outlineLevel="0" collapsed="false">
      <c r="A11" s="5" t="n">
        <v>2</v>
      </c>
      <c r="B11" s="0" t="n">
        <v>610149</v>
      </c>
      <c r="C11" s="0" t="s">
        <v>43</v>
      </c>
      <c r="D11" s="20" t="n">
        <v>35</v>
      </c>
      <c r="E11" s="21" t="n">
        <f aca="false">A11*D11</f>
        <v>70</v>
      </c>
    </row>
    <row r="12" customFormat="false" ht="15" hidden="false" customHeight="false" outlineLevel="0" collapsed="false">
      <c r="A12" s="5" t="n">
        <v>2</v>
      </c>
      <c r="B12" s="0" t="n">
        <v>610151</v>
      </c>
      <c r="C12" s="0" t="s">
        <v>44</v>
      </c>
      <c r="D12" s="20" t="n">
        <v>35</v>
      </c>
      <c r="E12" s="21" t="n">
        <f aca="false">A12*D12</f>
        <v>70</v>
      </c>
    </row>
    <row r="13" customFormat="false" ht="15" hidden="false" customHeight="false" outlineLevel="0" collapsed="false">
      <c r="A13" s="5" t="n">
        <v>1</v>
      </c>
      <c r="B13" s="0" t="n">
        <v>610152</v>
      </c>
      <c r="C13" s="0" t="s">
        <v>45</v>
      </c>
      <c r="D13" s="20" t="n">
        <v>35</v>
      </c>
      <c r="E13" s="21" t="n">
        <f aca="false">A13*D13</f>
        <v>35</v>
      </c>
    </row>
    <row r="14" customFormat="false" ht="15" hidden="false" customHeight="false" outlineLevel="0" collapsed="false">
      <c r="A14" s="5" t="n">
        <v>1</v>
      </c>
      <c r="B14" s="0" t="n">
        <v>610163</v>
      </c>
      <c r="C14" s="0" t="s">
        <v>47</v>
      </c>
      <c r="D14" s="20" t="n">
        <v>55</v>
      </c>
      <c r="E14" s="21" t="n">
        <f aca="false">A14*D14</f>
        <v>55</v>
      </c>
    </row>
    <row r="15" customFormat="false" ht="15" hidden="false" customHeight="false" outlineLevel="0" collapsed="false">
      <c r="A15" s="5" t="n">
        <v>2</v>
      </c>
      <c r="B15" s="0" t="n">
        <v>610153</v>
      </c>
      <c r="C15" s="0" t="s">
        <v>46</v>
      </c>
      <c r="D15" s="20" t="n">
        <v>35</v>
      </c>
      <c r="E15" s="21" t="n">
        <f aca="false">A15*D15</f>
        <v>70</v>
      </c>
      <c r="F15" s="18" t="n">
        <v>0.3</v>
      </c>
      <c r="G15" s="20" t="n">
        <f aca="false">SUM(E6:E15)*F15</f>
        <v>261.6</v>
      </c>
    </row>
    <row r="16" customFormat="false" ht="15" hidden="false" customHeight="false" outlineLevel="0" collapsed="false">
      <c r="A16" s="5"/>
      <c r="B16" s="15"/>
      <c r="C16" s="15"/>
      <c r="D16" s="15"/>
      <c r="E16" s="16"/>
    </row>
    <row r="17" customFormat="false" ht="15" hidden="false" customHeight="true" outlineLevel="0" collapsed="false">
      <c r="A17" s="17" t="s">
        <v>138</v>
      </c>
      <c r="B17" s="17"/>
      <c r="C17" s="17"/>
      <c r="D17" s="17"/>
      <c r="E17" s="17"/>
    </row>
    <row r="18" customFormat="false" ht="15" hidden="false" customHeight="false" outlineLevel="0" collapsed="false">
      <c r="A18" s="5" t="n">
        <v>1</v>
      </c>
      <c r="B18" s="0" t="n">
        <v>100246</v>
      </c>
      <c r="C18" s="0" t="s">
        <v>14</v>
      </c>
      <c r="D18" s="20" t="n">
        <v>0.4</v>
      </c>
      <c r="E18" s="21" t="n">
        <f aca="false">A18*D18</f>
        <v>0.4</v>
      </c>
    </row>
    <row r="19" customFormat="false" ht="15" hidden="false" customHeight="false" outlineLevel="0" collapsed="false">
      <c r="A19" s="5" t="n">
        <v>1</v>
      </c>
      <c r="B19" s="0" t="n">
        <v>100284</v>
      </c>
      <c r="C19" s="0" t="s">
        <v>15</v>
      </c>
      <c r="D19" s="20" t="n">
        <v>0.115</v>
      </c>
      <c r="E19" s="21" t="n">
        <f aca="false">A19*D19</f>
        <v>0.115</v>
      </c>
    </row>
    <row r="20" customFormat="false" ht="15" hidden="false" customHeight="false" outlineLevel="0" collapsed="false">
      <c r="A20" s="5" t="n">
        <v>7</v>
      </c>
      <c r="B20" s="0" t="n">
        <v>100395</v>
      </c>
      <c r="C20" s="0" t="s">
        <v>23</v>
      </c>
      <c r="D20" s="20" t="n">
        <v>0.306</v>
      </c>
      <c r="E20" s="21" t="n">
        <f aca="false">A20*D20</f>
        <v>2.142</v>
      </c>
    </row>
    <row r="21" customFormat="false" ht="15" hidden="false" customHeight="false" outlineLevel="0" collapsed="false">
      <c r="A21" s="5" t="n">
        <v>11</v>
      </c>
      <c r="B21" s="0" t="n">
        <v>100422</v>
      </c>
      <c r="C21" s="0" t="s">
        <v>26</v>
      </c>
      <c r="D21" s="20" t="n">
        <v>0.115</v>
      </c>
      <c r="E21" s="21" t="n">
        <f aca="false">A21*D21</f>
        <v>1.265</v>
      </c>
    </row>
    <row r="22" customFormat="false" ht="15" hidden="false" customHeight="false" outlineLevel="0" collapsed="false">
      <c r="A22" s="5" t="n">
        <v>11</v>
      </c>
      <c r="B22" s="0" t="n">
        <v>100461</v>
      </c>
      <c r="C22" s="0" t="s">
        <v>27</v>
      </c>
      <c r="D22" s="20" t="n">
        <v>0.115</v>
      </c>
      <c r="E22" s="21" t="n">
        <f aca="false">A22*D22</f>
        <v>1.265</v>
      </c>
    </row>
    <row r="23" customFormat="false" ht="15" hidden="false" customHeight="false" outlineLevel="0" collapsed="false">
      <c r="A23" s="5" t="n">
        <v>2</v>
      </c>
      <c r="B23" s="0" t="n">
        <v>100466</v>
      </c>
      <c r="C23" s="0" t="s">
        <v>28</v>
      </c>
      <c r="D23" s="20" t="n">
        <v>0.115</v>
      </c>
      <c r="E23" s="21" t="n">
        <f aca="false">A23*D23</f>
        <v>0.23</v>
      </c>
    </row>
    <row r="24" customFormat="false" ht="15" hidden="false" customHeight="false" outlineLevel="0" collapsed="false">
      <c r="A24" s="5" t="n">
        <v>1</v>
      </c>
      <c r="B24" s="0" t="n">
        <v>100481</v>
      </c>
      <c r="C24" s="0" t="s">
        <v>33</v>
      </c>
      <c r="D24" s="20" t="n">
        <v>0.6</v>
      </c>
      <c r="E24" s="21" t="n">
        <f aca="false">A24*D24</f>
        <v>0.6</v>
      </c>
    </row>
    <row r="25" customFormat="false" ht="15" hidden="false" customHeight="false" outlineLevel="0" collapsed="false">
      <c r="A25" s="5" t="n">
        <v>11</v>
      </c>
      <c r="B25" s="0" t="n">
        <v>100602</v>
      </c>
      <c r="C25" s="0" t="s">
        <v>39</v>
      </c>
      <c r="D25" s="20" t="n">
        <v>1</v>
      </c>
      <c r="E25" s="21" t="n">
        <f aca="false">A25*D25</f>
        <v>11</v>
      </c>
      <c r="F25" s="18" t="n">
        <v>1</v>
      </c>
      <c r="G25" s="20" t="n">
        <f aca="false">SUM(E18:E25)*F25</f>
        <v>17.017</v>
      </c>
    </row>
    <row r="26" customFormat="false" ht="15" hidden="false" customHeight="false" outlineLevel="0" collapsed="false">
      <c r="A26" s="5"/>
      <c r="B26" s="15"/>
      <c r="C26" s="15"/>
      <c r="D26" s="15"/>
      <c r="E26" s="16"/>
    </row>
    <row r="27" customFormat="false" ht="15" hidden="false" customHeight="true" outlineLevel="0" collapsed="false">
      <c r="A27" s="17" t="s">
        <v>139</v>
      </c>
      <c r="B27" s="17"/>
      <c r="C27" s="17"/>
      <c r="D27" s="17"/>
      <c r="E27" s="17"/>
    </row>
    <row r="28" customFormat="false" ht="15" hidden="false" customHeight="false" outlineLevel="0" collapsed="false">
      <c r="A28" s="5" t="n">
        <v>1</v>
      </c>
      <c r="B28" s="0" t="n">
        <v>100038</v>
      </c>
      <c r="C28" s="0" t="s">
        <v>6</v>
      </c>
      <c r="D28" s="20" t="n">
        <v>3.8</v>
      </c>
      <c r="E28" s="21" t="n">
        <f aca="false">A28*D28</f>
        <v>3.8</v>
      </c>
    </row>
    <row r="29" customFormat="false" ht="15" hidden="false" customHeight="false" outlineLevel="0" collapsed="false">
      <c r="A29" s="5" t="n">
        <v>2</v>
      </c>
      <c r="B29" s="0" t="n">
        <v>100218</v>
      </c>
      <c r="C29" s="0" t="s">
        <v>12</v>
      </c>
      <c r="D29" s="20" t="n">
        <v>0.3</v>
      </c>
      <c r="E29" s="21" t="n">
        <f aca="false">A29*D29</f>
        <v>0.6</v>
      </c>
    </row>
    <row r="30" customFormat="false" ht="15" hidden="false" customHeight="false" outlineLevel="0" collapsed="false">
      <c r="A30" s="5" t="n">
        <v>1</v>
      </c>
      <c r="B30" s="0" t="n">
        <v>100512</v>
      </c>
      <c r="C30" s="0" t="s">
        <v>36</v>
      </c>
      <c r="D30" s="20" t="n">
        <v>2.88</v>
      </c>
      <c r="E30" s="21" t="n">
        <f aca="false">A30*D30</f>
        <v>2.88</v>
      </c>
    </row>
    <row r="31" customFormat="false" ht="15" hidden="false" customHeight="false" outlineLevel="0" collapsed="false">
      <c r="A31" s="5" t="n">
        <v>1</v>
      </c>
      <c r="B31" s="0" t="n">
        <v>100471</v>
      </c>
      <c r="C31" s="0" t="s">
        <v>29</v>
      </c>
      <c r="D31" s="20" t="n">
        <v>0.1</v>
      </c>
      <c r="E31" s="21" t="n">
        <f aca="false">A31*D31</f>
        <v>0.1</v>
      </c>
      <c r="F31" s="18" t="n">
        <v>1</v>
      </c>
      <c r="G31" s="20" t="n">
        <f aca="false">SUM(E28:E31)*F31</f>
        <v>7.38</v>
      </c>
    </row>
    <row r="32" customFormat="false" ht="15" hidden="false" customHeight="false" outlineLevel="0" collapsed="false">
      <c r="A32" s="8"/>
      <c r="B32" s="9"/>
      <c r="C32" s="9"/>
      <c r="D32" s="9"/>
      <c r="E32" s="10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22" t="n">
        <f aca="false">SUM(G2:G31)</f>
        <v>285.997</v>
      </c>
    </row>
  </sheetData>
  <mergeCells count="4">
    <mergeCell ref="A1:G1"/>
    <mergeCell ref="A5:E5"/>
    <mergeCell ref="A17:E17"/>
    <mergeCell ref="A27:E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2026-06-20T15:47:30Z</dcterms:created>
  <dc:creator>Loxone</dc:creator>
  <dc:description/>
  <dc:language>de-DE</dc:language>
  <cp:lastModifiedBy>Anton Bayer</cp:lastModifiedBy>
  <dcterms:modified xsi:type="dcterms:W3CDTF">2026-09-27T22:01:34Z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